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2e7b3e0657b06f6d/Documents/Excel/"/>
    </mc:Choice>
  </mc:AlternateContent>
  <xr:revisionPtr revIDLastSave="189" documentId="8_{6CF048F0-7D4C-4B0F-A993-A98516EAAF18}" xr6:coauthVersionLast="47" xr6:coauthVersionMax="47" xr10:uidLastSave="{A6721D15-A5A8-4637-8AD1-E9C8F4FF7ECE}"/>
  <bookViews>
    <workbookView xWindow="-108" yWindow="-108" windowWidth="23256" windowHeight="13896" activeTab="3" xr2:uid="{00000000-000D-0000-FFFF-FFFF00000000}"/>
  </bookViews>
  <sheets>
    <sheet name="Table1" sheetId="1" r:id="rId1"/>
    <sheet name="Pivot" sheetId="2" r:id="rId2"/>
    <sheet name="KPI" sheetId="5" r:id="rId3"/>
    <sheet name="Dashboard for cities" sheetId="4" r:id="rId4"/>
  </sheets>
  <definedNames>
    <definedName name="Slicer_Avg_Monthly_Income">#N/A</definedName>
    <definedName name="Slicer_Country">#N/A</definedName>
    <definedName name="Slicer_Population__millions">#N/A</definedName>
  </definedNames>
  <calcPr calcId="191029"/>
  <pivotCaches>
    <pivotCache cacheId="0" r:id="rId5"/>
    <pivotCache cacheId="1" r:id="rId6"/>
    <pivotCache cacheId="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5" l="1"/>
  <c r="A14" i="5"/>
  <c r="A11" i="5"/>
  <c r="A8" i="5"/>
  <c r="A5" i="5"/>
</calcChain>
</file>

<file path=xl/sharedStrings.xml><?xml version="1.0" encoding="utf-8"?>
<sst xmlns="http://schemas.openxmlformats.org/spreadsheetml/2006/main" count="252" uniqueCount="92">
  <si>
    <t>City</t>
  </si>
  <si>
    <t>Country</t>
  </si>
  <si>
    <t>Population (millions)</t>
  </si>
  <si>
    <t>Happiness Score</t>
  </si>
  <si>
    <t>Air Quality Index</t>
  </si>
  <si>
    <t>Green Area %</t>
  </si>
  <si>
    <t>Education Index</t>
  </si>
  <si>
    <t>Digital Connectivity</t>
  </si>
  <si>
    <t>Avg Monthly Income ($)</t>
  </si>
  <si>
    <t>Safety Score</t>
  </si>
  <si>
    <t>Overall Rating</t>
  </si>
  <si>
    <t>Auracity</t>
  </si>
  <si>
    <t>Solaria</t>
  </si>
  <si>
    <t>NeoGreen</t>
  </si>
  <si>
    <t>Lumora</t>
  </si>
  <si>
    <t>Novaterra</t>
  </si>
  <si>
    <t>Skyhaven</t>
  </si>
  <si>
    <t>Aquapolis</t>
  </si>
  <si>
    <t>Edenora</t>
  </si>
  <si>
    <t>Metronis</t>
  </si>
  <si>
    <t>Celestia</t>
  </si>
  <si>
    <t>Arcanova</t>
  </si>
  <si>
    <t>Zenithia</t>
  </si>
  <si>
    <t>Ecolis</t>
  </si>
  <si>
    <t>Innovara</t>
  </si>
  <si>
    <t>Virelia</t>
  </si>
  <si>
    <t>Terranova</t>
  </si>
  <si>
    <t>Auralis</t>
  </si>
  <si>
    <t>Velonix</t>
  </si>
  <si>
    <t>Florentis</t>
  </si>
  <si>
    <t>Arcadia</t>
  </si>
  <si>
    <t>Zynthera</t>
  </si>
  <si>
    <t>Solaris Prime</t>
  </si>
  <si>
    <t>Harmonia</t>
  </si>
  <si>
    <t>Technora</t>
  </si>
  <si>
    <t>Greenora</t>
  </si>
  <si>
    <t>Helion</t>
  </si>
  <si>
    <t>Utopis</t>
  </si>
  <si>
    <t>Nexora</t>
  </si>
  <si>
    <t>Radiantis</t>
  </si>
  <si>
    <t>Aquaterra</t>
  </si>
  <si>
    <t>Clarion</t>
  </si>
  <si>
    <t>Aetheris</t>
  </si>
  <si>
    <t>Electra City</t>
  </si>
  <si>
    <t>Lumora Nova</t>
  </si>
  <si>
    <t>Eden Prime</t>
  </si>
  <si>
    <t>Polaris</t>
  </si>
  <si>
    <t>Axionis</t>
  </si>
  <si>
    <t>Glorion</t>
  </si>
  <si>
    <t>Neoville</t>
  </si>
  <si>
    <t>Astra</t>
  </si>
  <si>
    <t>Meridian</t>
  </si>
  <si>
    <t>Hyperion</t>
  </si>
  <si>
    <t>Vionara</t>
  </si>
  <si>
    <t>Chronis</t>
  </si>
  <si>
    <t>Futuria</t>
  </si>
  <si>
    <t>Aerolis</t>
  </si>
  <si>
    <t>Novion</t>
  </si>
  <si>
    <t>Zenith Prime</t>
  </si>
  <si>
    <t>Alphara</t>
  </si>
  <si>
    <t>Skyline City</t>
  </si>
  <si>
    <t>Brazil</t>
  </si>
  <si>
    <t>Japan</t>
  </si>
  <si>
    <t>Singapore</t>
  </si>
  <si>
    <t>Canada</t>
  </si>
  <si>
    <t>USA</t>
  </si>
  <si>
    <t>Germany</t>
  </si>
  <si>
    <t>UAE</t>
  </si>
  <si>
    <t>Australia</t>
  </si>
  <si>
    <t>France</t>
  </si>
  <si>
    <t>India</t>
  </si>
  <si>
    <t>Row Labels</t>
  </si>
  <si>
    <t>(blank)</t>
  </si>
  <si>
    <t>Grand Total</t>
  </si>
  <si>
    <t>Sum of Happiness Score</t>
  </si>
  <si>
    <t>Average of Happiness Score</t>
  </si>
  <si>
    <t>Happiness by city</t>
  </si>
  <si>
    <t>Country Summary</t>
  </si>
  <si>
    <t>Sum of Safety Score</t>
  </si>
  <si>
    <t>Average of Safety Score</t>
  </si>
  <si>
    <t>Comparison Data</t>
  </si>
  <si>
    <t>Sum of Education Index</t>
  </si>
  <si>
    <t>Sum of Digital Connectivity</t>
  </si>
  <si>
    <t>Sum of Air Quality Index</t>
  </si>
  <si>
    <t>Avg Happiness Score</t>
  </si>
  <si>
    <t>Average Safety</t>
  </si>
  <si>
    <t>Average Income</t>
  </si>
  <si>
    <t>Top City by Overall Rating</t>
  </si>
  <si>
    <t>Average Education</t>
  </si>
  <si>
    <t>Average of Avg Monthly Income ($)</t>
  </si>
  <si>
    <t>Happiness vs Income</t>
  </si>
  <si>
    <t>Sum of Avg Happiness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</si>
</sst>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1" fillId="2" borderId="0" xfId="0" applyFont="1" applyFill="1"/>
    <xf numFmtId="0" fontId="0" fillId="4" borderId="0" xfId="0" applyFill="1"/>
    <xf numFmtId="0" fontId="1" fillId="3" borderId="0" xfId="0" applyFont="1" applyFill="1"/>
    <xf numFmtId="0" fontId="0" fillId="0" borderId="0" xfId="0" applyNumberFormat="1" applyAlignment="1">
      <alignment horizontal="center"/>
    </xf>
  </cellXfs>
  <cellStyles count="1">
    <cellStyle name="Normal" xfId="0" builtinId="0"/>
  </cellStyles>
  <dxfs count="18">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CB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[Dream_City_Happiness_Project.xlsx]Pivot!PivotTable1</c:name>
    <c:fmtId val="5"/>
  </c:pivotSource>
  <c:chart>
    <c:title>
      <c:tx>
        <c:rich>
          <a:bodyPr/>
          <a:lstStyle/>
          <a:p>
            <a:pPr>
              <a:defRPr/>
            </a:pPr>
            <a:r>
              <a:rPr lang="en-IN" b="0"/>
              <a:t>Happniess</a:t>
            </a:r>
            <a:r>
              <a:rPr lang="en-IN" b="0" baseline="0"/>
              <a:t> By City</a:t>
            </a:r>
          </a:p>
          <a:p>
            <a:pPr>
              <a:defRPr/>
            </a:pPr>
            <a:endParaRPr lang="en-IN"/>
          </a:p>
        </c:rich>
      </c:tx>
      <c:layout>
        <c:manualLayout>
          <c:xMode val="edge"/>
          <c:yMode val="edge"/>
          <c:x val="0.30784711286089239"/>
          <c:y val="0.12397929425488481"/>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7.1712160979877509E-2"/>
          <c:y val="0.26726633129192184"/>
          <c:w val="0.76813845144356951"/>
          <c:h val="0.38869094488188977"/>
        </c:manualLayout>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Pivot!$A$4:$A$55</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Pivot!$B$4:$B$55</c:f>
              <c:numCache>
                <c:formatCode>General</c:formatCode>
                <c:ptCount val="51"/>
                <c:pt idx="0">
                  <c:v>7.91</c:v>
                </c:pt>
                <c:pt idx="1">
                  <c:v>9.0399999999999991</c:v>
                </c:pt>
                <c:pt idx="2">
                  <c:v>9.6300000000000008</c:v>
                </c:pt>
                <c:pt idx="3">
                  <c:v>8.26</c:v>
                </c:pt>
                <c:pt idx="4">
                  <c:v>6.92</c:v>
                </c:pt>
                <c:pt idx="5">
                  <c:v>8.42</c:v>
                </c:pt>
                <c:pt idx="6">
                  <c:v>7.62</c:v>
                </c:pt>
                <c:pt idx="7">
                  <c:v>8.9700000000000006</c:v>
                </c:pt>
                <c:pt idx="8">
                  <c:v>6.56</c:v>
                </c:pt>
                <c:pt idx="9">
                  <c:v>8.68</c:v>
                </c:pt>
                <c:pt idx="10">
                  <c:v>6.88</c:v>
                </c:pt>
                <c:pt idx="11">
                  <c:v>6.59</c:v>
                </c:pt>
                <c:pt idx="12">
                  <c:v>8.24</c:v>
                </c:pt>
                <c:pt idx="13">
                  <c:v>7.48</c:v>
                </c:pt>
                <c:pt idx="14">
                  <c:v>7.2</c:v>
                </c:pt>
                <c:pt idx="15">
                  <c:v>7.98</c:v>
                </c:pt>
                <c:pt idx="16">
                  <c:v>6.89</c:v>
                </c:pt>
                <c:pt idx="17">
                  <c:v>7.65</c:v>
                </c:pt>
                <c:pt idx="18">
                  <c:v>7.45</c:v>
                </c:pt>
                <c:pt idx="19">
                  <c:v>6.59</c:v>
                </c:pt>
                <c:pt idx="20">
                  <c:v>9.27</c:v>
                </c:pt>
                <c:pt idx="21">
                  <c:v>7.65</c:v>
                </c:pt>
                <c:pt idx="22">
                  <c:v>7.42</c:v>
                </c:pt>
                <c:pt idx="23">
                  <c:v>8.08</c:v>
                </c:pt>
                <c:pt idx="24">
                  <c:v>8.48</c:v>
                </c:pt>
                <c:pt idx="25">
                  <c:v>8.33</c:v>
                </c:pt>
                <c:pt idx="26">
                  <c:v>7.83</c:v>
                </c:pt>
                <c:pt idx="27">
                  <c:v>6.67</c:v>
                </c:pt>
                <c:pt idx="28">
                  <c:v>9.7799999999999994</c:v>
                </c:pt>
                <c:pt idx="29">
                  <c:v>6.53</c:v>
                </c:pt>
                <c:pt idx="30">
                  <c:v>8.27</c:v>
                </c:pt>
                <c:pt idx="31">
                  <c:v>7.93</c:v>
                </c:pt>
                <c:pt idx="32">
                  <c:v>8.41</c:v>
                </c:pt>
                <c:pt idx="33">
                  <c:v>6.93</c:v>
                </c:pt>
                <c:pt idx="34">
                  <c:v>7.48</c:v>
                </c:pt>
                <c:pt idx="35">
                  <c:v>6.69</c:v>
                </c:pt>
                <c:pt idx="36">
                  <c:v>9.16</c:v>
                </c:pt>
                <c:pt idx="37">
                  <c:v>7.42</c:v>
                </c:pt>
                <c:pt idx="38">
                  <c:v>9.75</c:v>
                </c:pt>
                <c:pt idx="39">
                  <c:v>7.97</c:v>
                </c:pt>
                <c:pt idx="40">
                  <c:v>9.06</c:v>
                </c:pt>
                <c:pt idx="41">
                  <c:v>8.5299999999999994</c:v>
                </c:pt>
                <c:pt idx="42">
                  <c:v>8.82</c:v>
                </c:pt>
                <c:pt idx="43">
                  <c:v>8.43</c:v>
                </c:pt>
                <c:pt idx="44">
                  <c:v>7.12</c:v>
                </c:pt>
                <c:pt idx="45">
                  <c:v>7.26</c:v>
                </c:pt>
                <c:pt idx="46">
                  <c:v>7.82</c:v>
                </c:pt>
                <c:pt idx="47">
                  <c:v>7.46</c:v>
                </c:pt>
                <c:pt idx="48">
                  <c:v>6.57</c:v>
                </c:pt>
                <c:pt idx="49">
                  <c:v>7.16</c:v>
                </c:pt>
              </c:numCache>
            </c:numRef>
          </c:val>
          <c:extLst>
            <c:ext xmlns:c16="http://schemas.microsoft.com/office/drawing/2014/chart" uri="{C3380CC4-5D6E-409C-BE32-E72D297353CC}">
              <c16:uniqueId val="{00000006-724D-4113-9315-CEAE26D8EDBD}"/>
            </c:ext>
          </c:extLst>
        </c:ser>
        <c:dLbls>
          <c:showLegendKey val="0"/>
          <c:showVal val="0"/>
          <c:showCatName val="0"/>
          <c:showSerName val="0"/>
          <c:showPercent val="0"/>
          <c:showBubbleSize val="0"/>
        </c:dLbls>
        <c:gapWidth val="219"/>
        <c:overlap val="-27"/>
        <c:axId val="419839743"/>
        <c:axId val="419856543"/>
      </c:barChart>
      <c:catAx>
        <c:axId val="41983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856543"/>
        <c:crosses val="autoZero"/>
        <c:auto val="1"/>
        <c:lblAlgn val="ctr"/>
        <c:lblOffset val="100"/>
        <c:noMultiLvlLbl val="0"/>
      </c:catAx>
      <c:valAx>
        <c:axId val="41985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8397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[Dream_City_Happiness_Project.xlsx]Pivot!PivotTable4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a:t>Country</a:t>
            </a:r>
            <a:r>
              <a:rPr lang="en-IN" sz="1800" b="0" baseline="0"/>
              <a:t> Summary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886482939632541E-2"/>
          <c:y val="0.27296077573636629"/>
          <c:w val="0.55188976377952759"/>
          <c:h val="0.4232462088072324"/>
        </c:manualLayout>
      </c:layout>
      <c:barChart>
        <c:barDir val="col"/>
        <c:grouping val="clustered"/>
        <c:varyColors val="0"/>
        <c:ser>
          <c:idx val="0"/>
          <c:order val="0"/>
          <c:tx>
            <c:strRef>
              <c:f>Pivot!$E$3</c:f>
              <c:strCache>
                <c:ptCount val="1"/>
                <c:pt idx="0">
                  <c:v>Average of Safety Score</c:v>
                </c:pt>
              </c:strCache>
            </c:strRef>
          </c:tx>
          <c:spPr>
            <a:solidFill>
              <a:schemeClr val="accent1"/>
            </a:solidFill>
            <a:ln>
              <a:noFill/>
            </a:ln>
            <a:effectLst/>
          </c:spPr>
          <c:invertIfNegative val="0"/>
          <c:cat>
            <c:strRef>
              <c:f>Pivot!$D$4:$D$15</c:f>
              <c:strCache>
                <c:ptCount val="11"/>
                <c:pt idx="0">
                  <c:v>Australia</c:v>
                </c:pt>
                <c:pt idx="1">
                  <c:v>Brazil</c:v>
                </c:pt>
                <c:pt idx="2">
                  <c:v>Canada</c:v>
                </c:pt>
                <c:pt idx="3">
                  <c:v>France</c:v>
                </c:pt>
                <c:pt idx="4">
                  <c:v>Germany</c:v>
                </c:pt>
                <c:pt idx="5">
                  <c:v>India</c:v>
                </c:pt>
                <c:pt idx="6">
                  <c:v>Japan</c:v>
                </c:pt>
                <c:pt idx="7">
                  <c:v>Singapore</c:v>
                </c:pt>
                <c:pt idx="8">
                  <c:v>UAE</c:v>
                </c:pt>
                <c:pt idx="9">
                  <c:v>USA</c:v>
                </c:pt>
                <c:pt idx="10">
                  <c:v>(blank)</c:v>
                </c:pt>
              </c:strCache>
            </c:strRef>
          </c:cat>
          <c:val>
            <c:numRef>
              <c:f>Pivot!$E$4:$E$15</c:f>
              <c:numCache>
                <c:formatCode>General</c:formatCode>
                <c:ptCount val="11"/>
                <c:pt idx="0">
                  <c:v>7.6639999999999997</c:v>
                </c:pt>
                <c:pt idx="1">
                  <c:v>8.6875</c:v>
                </c:pt>
                <c:pt idx="2">
                  <c:v>8.56</c:v>
                </c:pt>
                <c:pt idx="3">
                  <c:v>7.8979999999999988</c:v>
                </c:pt>
                <c:pt idx="4">
                  <c:v>8.0820000000000007</c:v>
                </c:pt>
                <c:pt idx="5">
                  <c:v>7.9749999999999996</c:v>
                </c:pt>
                <c:pt idx="6">
                  <c:v>8.5549999999999997</c:v>
                </c:pt>
                <c:pt idx="7">
                  <c:v>8.5250000000000004</c:v>
                </c:pt>
                <c:pt idx="8">
                  <c:v>8.1433333333333326</c:v>
                </c:pt>
                <c:pt idx="9">
                  <c:v>7.5969999999999995</c:v>
                </c:pt>
              </c:numCache>
            </c:numRef>
          </c:val>
          <c:extLst>
            <c:ext xmlns:c16="http://schemas.microsoft.com/office/drawing/2014/chart" uri="{C3380CC4-5D6E-409C-BE32-E72D297353CC}">
              <c16:uniqueId val="{00000000-CBBF-46B2-92B5-6B9D514770A7}"/>
            </c:ext>
          </c:extLst>
        </c:ser>
        <c:dLbls>
          <c:showLegendKey val="0"/>
          <c:showVal val="0"/>
          <c:showCatName val="0"/>
          <c:showSerName val="0"/>
          <c:showPercent val="0"/>
          <c:showBubbleSize val="0"/>
        </c:dLbls>
        <c:gapWidth val="219"/>
        <c:overlap val="-27"/>
        <c:axId val="529202719"/>
        <c:axId val="529186399"/>
      </c:barChart>
      <c:lineChart>
        <c:grouping val="standard"/>
        <c:varyColors val="0"/>
        <c:ser>
          <c:idx val="1"/>
          <c:order val="1"/>
          <c:tx>
            <c:strRef>
              <c:f>Pivot!$F$3</c:f>
              <c:strCache>
                <c:ptCount val="1"/>
                <c:pt idx="0">
                  <c:v>Average of Happiness Score</c:v>
                </c:pt>
              </c:strCache>
            </c:strRef>
          </c:tx>
          <c:spPr>
            <a:ln w="28575" cap="rnd">
              <a:solidFill>
                <a:schemeClr val="accent2"/>
              </a:solidFill>
              <a:round/>
            </a:ln>
            <a:effectLst/>
          </c:spPr>
          <c:marker>
            <c:symbol val="none"/>
          </c:marker>
          <c:cat>
            <c:strRef>
              <c:f>Pivot!$D$4:$D$15</c:f>
              <c:strCache>
                <c:ptCount val="11"/>
                <c:pt idx="0">
                  <c:v>Australia</c:v>
                </c:pt>
                <c:pt idx="1">
                  <c:v>Brazil</c:v>
                </c:pt>
                <c:pt idx="2">
                  <c:v>Canada</c:v>
                </c:pt>
                <c:pt idx="3">
                  <c:v>France</c:v>
                </c:pt>
                <c:pt idx="4">
                  <c:v>Germany</c:v>
                </c:pt>
                <c:pt idx="5">
                  <c:v>India</c:v>
                </c:pt>
                <c:pt idx="6">
                  <c:v>Japan</c:v>
                </c:pt>
                <c:pt idx="7">
                  <c:v>Singapore</c:v>
                </c:pt>
                <c:pt idx="8">
                  <c:v>UAE</c:v>
                </c:pt>
                <c:pt idx="9">
                  <c:v>USA</c:v>
                </c:pt>
                <c:pt idx="10">
                  <c:v>(blank)</c:v>
                </c:pt>
              </c:strCache>
            </c:strRef>
          </c:cat>
          <c:val>
            <c:numRef>
              <c:f>Pivot!$F$4:$F$15</c:f>
              <c:numCache>
                <c:formatCode>General</c:formatCode>
                <c:ptCount val="11"/>
                <c:pt idx="0">
                  <c:v>7.3920000000000003</c:v>
                </c:pt>
                <c:pt idx="1">
                  <c:v>7.8474999999999993</c:v>
                </c:pt>
                <c:pt idx="2">
                  <c:v>7.8133333333333335</c:v>
                </c:pt>
                <c:pt idx="3">
                  <c:v>8.2080000000000002</c:v>
                </c:pt>
                <c:pt idx="4">
                  <c:v>7.7460000000000004</c:v>
                </c:pt>
                <c:pt idx="5">
                  <c:v>7.8650000000000002</c:v>
                </c:pt>
                <c:pt idx="6">
                  <c:v>7.4175000000000004</c:v>
                </c:pt>
                <c:pt idx="7">
                  <c:v>8.0474999999999994</c:v>
                </c:pt>
                <c:pt idx="8">
                  <c:v>7.86</c:v>
                </c:pt>
                <c:pt idx="9">
                  <c:v>7.9470000000000001</c:v>
                </c:pt>
              </c:numCache>
            </c:numRef>
          </c:val>
          <c:smooth val="0"/>
          <c:extLst>
            <c:ext xmlns:c16="http://schemas.microsoft.com/office/drawing/2014/chart" uri="{C3380CC4-5D6E-409C-BE32-E72D297353CC}">
              <c16:uniqueId val="{00000001-CBBF-46B2-92B5-6B9D514770A7}"/>
            </c:ext>
          </c:extLst>
        </c:ser>
        <c:dLbls>
          <c:showLegendKey val="0"/>
          <c:showVal val="0"/>
          <c:showCatName val="0"/>
          <c:showSerName val="0"/>
          <c:showPercent val="0"/>
          <c:showBubbleSize val="0"/>
        </c:dLbls>
        <c:marker val="1"/>
        <c:smooth val="0"/>
        <c:axId val="529202719"/>
        <c:axId val="529186399"/>
      </c:lineChart>
      <c:catAx>
        <c:axId val="5292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86399"/>
        <c:crosses val="autoZero"/>
        <c:auto val="1"/>
        <c:lblAlgn val="ctr"/>
        <c:lblOffset val="100"/>
        <c:noMultiLvlLbl val="0"/>
      </c:catAx>
      <c:valAx>
        <c:axId val="52918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[Dream_City_Happiness_Project.xlsx]Pivot!PivotTable5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a:t>Comparison</a:t>
            </a:r>
            <a:r>
              <a:rPr lang="en-IN" sz="1800" baseline="0"/>
              <a:t> Data</a:t>
            </a:r>
            <a:endParaRPr lang="en-IN"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Pivot!$E$18</c:f>
              <c:strCache>
                <c:ptCount val="1"/>
                <c:pt idx="0">
                  <c:v>Sum of Happiness Score</c:v>
                </c:pt>
              </c:strCache>
            </c:strRef>
          </c:tx>
          <c:spPr>
            <a:solidFill>
              <a:schemeClr val="accent1"/>
            </a:solidFill>
            <a:ln>
              <a:noFill/>
            </a:ln>
            <a:effectLst/>
          </c:spPr>
          <c:invertIfNegative val="0"/>
          <c:cat>
            <c:strRef>
              <c:f>Pivot!$D$19:$D$70</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Pivot!$E$19:$E$70</c:f>
              <c:numCache>
                <c:formatCode>General</c:formatCode>
                <c:ptCount val="51"/>
                <c:pt idx="0">
                  <c:v>7.91</c:v>
                </c:pt>
                <c:pt idx="1">
                  <c:v>9.0399999999999991</c:v>
                </c:pt>
                <c:pt idx="2">
                  <c:v>9.6300000000000008</c:v>
                </c:pt>
                <c:pt idx="3">
                  <c:v>8.26</c:v>
                </c:pt>
                <c:pt idx="4">
                  <c:v>6.92</c:v>
                </c:pt>
                <c:pt idx="5">
                  <c:v>8.42</c:v>
                </c:pt>
                <c:pt idx="6">
                  <c:v>7.62</c:v>
                </c:pt>
                <c:pt idx="7">
                  <c:v>8.9700000000000006</c:v>
                </c:pt>
                <c:pt idx="8">
                  <c:v>6.56</c:v>
                </c:pt>
                <c:pt idx="9">
                  <c:v>8.68</c:v>
                </c:pt>
                <c:pt idx="10">
                  <c:v>6.88</c:v>
                </c:pt>
                <c:pt idx="11">
                  <c:v>6.59</c:v>
                </c:pt>
                <c:pt idx="12">
                  <c:v>8.24</c:v>
                </c:pt>
                <c:pt idx="13">
                  <c:v>7.48</c:v>
                </c:pt>
                <c:pt idx="14">
                  <c:v>7.2</c:v>
                </c:pt>
                <c:pt idx="15">
                  <c:v>7.98</c:v>
                </c:pt>
                <c:pt idx="16">
                  <c:v>6.89</c:v>
                </c:pt>
                <c:pt idx="17">
                  <c:v>7.65</c:v>
                </c:pt>
                <c:pt idx="18">
                  <c:v>7.45</c:v>
                </c:pt>
                <c:pt idx="19">
                  <c:v>6.59</c:v>
                </c:pt>
                <c:pt idx="20">
                  <c:v>9.27</c:v>
                </c:pt>
                <c:pt idx="21">
                  <c:v>7.65</c:v>
                </c:pt>
                <c:pt idx="22">
                  <c:v>7.42</c:v>
                </c:pt>
                <c:pt idx="23">
                  <c:v>8.08</c:v>
                </c:pt>
                <c:pt idx="24">
                  <c:v>8.48</c:v>
                </c:pt>
                <c:pt idx="25">
                  <c:v>8.33</c:v>
                </c:pt>
                <c:pt idx="26">
                  <c:v>7.83</c:v>
                </c:pt>
                <c:pt idx="27">
                  <c:v>6.67</c:v>
                </c:pt>
                <c:pt idx="28">
                  <c:v>9.7799999999999994</c:v>
                </c:pt>
                <c:pt idx="29">
                  <c:v>6.53</c:v>
                </c:pt>
                <c:pt idx="30">
                  <c:v>8.27</c:v>
                </c:pt>
                <c:pt idx="31">
                  <c:v>7.93</c:v>
                </c:pt>
                <c:pt idx="32">
                  <c:v>8.41</c:v>
                </c:pt>
                <c:pt idx="33">
                  <c:v>6.93</c:v>
                </c:pt>
                <c:pt idx="34">
                  <c:v>7.48</c:v>
                </c:pt>
                <c:pt idx="35">
                  <c:v>6.69</c:v>
                </c:pt>
                <c:pt idx="36">
                  <c:v>9.16</c:v>
                </c:pt>
                <c:pt idx="37">
                  <c:v>7.42</c:v>
                </c:pt>
                <c:pt idx="38">
                  <c:v>9.75</c:v>
                </c:pt>
                <c:pt idx="39">
                  <c:v>7.97</c:v>
                </c:pt>
                <c:pt idx="40">
                  <c:v>9.06</c:v>
                </c:pt>
                <c:pt idx="41">
                  <c:v>8.5299999999999994</c:v>
                </c:pt>
                <c:pt idx="42">
                  <c:v>8.82</c:v>
                </c:pt>
                <c:pt idx="43">
                  <c:v>8.43</c:v>
                </c:pt>
                <c:pt idx="44">
                  <c:v>7.12</c:v>
                </c:pt>
                <c:pt idx="45">
                  <c:v>7.26</c:v>
                </c:pt>
                <c:pt idx="46">
                  <c:v>7.82</c:v>
                </c:pt>
                <c:pt idx="47">
                  <c:v>7.46</c:v>
                </c:pt>
                <c:pt idx="48">
                  <c:v>6.57</c:v>
                </c:pt>
                <c:pt idx="49">
                  <c:v>7.16</c:v>
                </c:pt>
              </c:numCache>
            </c:numRef>
          </c:val>
          <c:extLst>
            <c:ext xmlns:c16="http://schemas.microsoft.com/office/drawing/2014/chart" uri="{C3380CC4-5D6E-409C-BE32-E72D297353CC}">
              <c16:uniqueId val="{00000000-D1C1-4987-9571-987ACC38FC31}"/>
            </c:ext>
          </c:extLst>
        </c:ser>
        <c:ser>
          <c:idx val="1"/>
          <c:order val="1"/>
          <c:tx>
            <c:strRef>
              <c:f>Pivot!$F$18</c:f>
              <c:strCache>
                <c:ptCount val="1"/>
                <c:pt idx="0">
                  <c:v>Sum of Education Index</c:v>
                </c:pt>
              </c:strCache>
            </c:strRef>
          </c:tx>
          <c:spPr>
            <a:solidFill>
              <a:schemeClr val="accent2"/>
            </a:solidFill>
            <a:ln>
              <a:noFill/>
            </a:ln>
            <a:effectLst/>
          </c:spPr>
          <c:invertIfNegative val="0"/>
          <c:cat>
            <c:strRef>
              <c:f>Pivot!$D$19:$D$70</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Pivot!$F$19:$F$70</c:f>
              <c:numCache>
                <c:formatCode>General</c:formatCode>
                <c:ptCount val="51"/>
                <c:pt idx="0">
                  <c:v>9.08</c:v>
                </c:pt>
                <c:pt idx="1">
                  <c:v>9.24</c:v>
                </c:pt>
                <c:pt idx="2">
                  <c:v>7.96</c:v>
                </c:pt>
                <c:pt idx="3">
                  <c:v>7.91</c:v>
                </c:pt>
                <c:pt idx="4">
                  <c:v>7.05</c:v>
                </c:pt>
                <c:pt idx="5">
                  <c:v>8.17</c:v>
                </c:pt>
                <c:pt idx="6">
                  <c:v>8.14</c:v>
                </c:pt>
                <c:pt idx="7">
                  <c:v>7.38</c:v>
                </c:pt>
                <c:pt idx="8">
                  <c:v>9.7899999999999991</c:v>
                </c:pt>
                <c:pt idx="9">
                  <c:v>8.98</c:v>
                </c:pt>
                <c:pt idx="10">
                  <c:v>8.89</c:v>
                </c:pt>
                <c:pt idx="11">
                  <c:v>7.97</c:v>
                </c:pt>
                <c:pt idx="12">
                  <c:v>7.23</c:v>
                </c:pt>
                <c:pt idx="13">
                  <c:v>7.62</c:v>
                </c:pt>
                <c:pt idx="14">
                  <c:v>9.74</c:v>
                </c:pt>
                <c:pt idx="15">
                  <c:v>8.8800000000000008</c:v>
                </c:pt>
                <c:pt idx="16">
                  <c:v>7.23</c:v>
                </c:pt>
                <c:pt idx="17">
                  <c:v>8.6199999999999992</c:v>
                </c:pt>
                <c:pt idx="18">
                  <c:v>7.9</c:v>
                </c:pt>
                <c:pt idx="19">
                  <c:v>8.34</c:v>
                </c:pt>
                <c:pt idx="20">
                  <c:v>7.96</c:v>
                </c:pt>
                <c:pt idx="21">
                  <c:v>7.15</c:v>
                </c:pt>
                <c:pt idx="22">
                  <c:v>9.6999999999999993</c:v>
                </c:pt>
                <c:pt idx="23">
                  <c:v>7.7</c:v>
                </c:pt>
                <c:pt idx="24">
                  <c:v>8.73</c:v>
                </c:pt>
                <c:pt idx="25">
                  <c:v>7.36</c:v>
                </c:pt>
                <c:pt idx="26">
                  <c:v>7.94</c:v>
                </c:pt>
                <c:pt idx="27">
                  <c:v>7.97</c:v>
                </c:pt>
                <c:pt idx="28">
                  <c:v>9.1300000000000008</c:v>
                </c:pt>
                <c:pt idx="29">
                  <c:v>8.19</c:v>
                </c:pt>
                <c:pt idx="30">
                  <c:v>7.4</c:v>
                </c:pt>
                <c:pt idx="31">
                  <c:v>9.3699999999999992</c:v>
                </c:pt>
                <c:pt idx="32">
                  <c:v>8.75</c:v>
                </c:pt>
                <c:pt idx="33">
                  <c:v>9.61</c:v>
                </c:pt>
                <c:pt idx="34">
                  <c:v>8.11</c:v>
                </c:pt>
                <c:pt idx="35">
                  <c:v>9.67</c:v>
                </c:pt>
                <c:pt idx="36">
                  <c:v>7.93</c:v>
                </c:pt>
                <c:pt idx="37">
                  <c:v>7.64</c:v>
                </c:pt>
                <c:pt idx="38">
                  <c:v>7.35</c:v>
                </c:pt>
                <c:pt idx="39">
                  <c:v>8.69</c:v>
                </c:pt>
                <c:pt idx="40">
                  <c:v>8.17</c:v>
                </c:pt>
                <c:pt idx="41">
                  <c:v>8.61</c:v>
                </c:pt>
                <c:pt idx="42">
                  <c:v>8.49</c:v>
                </c:pt>
                <c:pt idx="43">
                  <c:v>7.16</c:v>
                </c:pt>
                <c:pt idx="44">
                  <c:v>8.1300000000000008</c:v>
                </c:pt>
                <c:pt idx="45">
                  <c:v>7.67</c:v>
                </c:pt>
                <c:pt idx="46">
                  <c:v>7.18</c:v>
                </c:pt>
                <c:pt idx="47">
                  <c:v>7.88</c:v>
                </c:pt>
                <c:pt idx="48">
                  <c:v>9.17</c:v>
                </c:pt>
                <c:pt idx="49">
                  <c:v>8.64</c:v>
                </c:pt>
              </c:numCache>
            </c:numRef>
          </c:val>
          <c:extLst>
            <c:ext xmlns:c16="http://schemas.microsoft.com/office/drawing/2014/chart" uri="{C3380CC4-5D6E-409C-BE32-E72D297353CC}">
              <c16:uniqueId val="{00000001-D1C1-4987-9571-987ACC38FC31}"/>
            </c:ext>
          </c:extLst>
        </c:ser>
        <c:ser>
          <c:idx val="2"/>
          <c:order val="2"/>
          <c:tx>
            <c:strRef>
              <c:f>Pivot!$G$18</c:f>
              <c:strCache>
                <c:ptCount val="1"/>
                <c:pt idx="0">
                  <c:v>Sum of Safety Score</c:v>
                </c:pt>
              </c:strCache>
            </c:strRef>
          </c:tx>
          <c:spPr>
            <a:solidFill>
              <a:schemeClr val="accent3"/>
            </a:solidFill>
            <a:ln>
              <a:noFill/>
            </a:ln>
            <a:effectLst/>
          </c:spPr>
          <c:invertIfNegative val="0"/>
          <c:cat>
            <c:strRef>
              <c:f>Pivot!$D$19:$D$70</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Pivot!$G$19:$G$70</c:f>
              <c:numCache>
                <c:formatCode>General</c:formatCode>
                <c:ptCount val="51"/>
                <c:pt idx="0">
                  <c:v>9.69</c:v>
                </c:pt>
                <c:pt idx="1">
                  <c:v>6.59</c:v>
                </c:pt>
                <c:pt idx="2">
                  <c:v>7.84</c:v>
                </c:pt>
                <c:pt idx="3">
                  <c:v>8.42</c:v>
                </c:pt>
                <c:pt idx="4">
                  <c:v>6.43</c:v>
                </c:pt>
                <c:pt idx="5">
                  <c:v>9.15</c:v>
                </c:pt>
                <c:pt idx="6">
                  <c:v>9.52</c:v>
                </c:pt>
                <c:pt idx="7">
                  <c:v>8.7799999999999994</c:v>
                </c:pt>
                <c:pt idx="8">
                  <c:v>8.6999999999999993</c:v>
                </c:pt>
                <c:pt idx="9">
                  <c:v>8.17</c:v>
                </c:pt>
                <c:pt idx="10">
                  <c:v>8.93</c:v>
                </c:pt>
                <c:pt idx="11">
                  <c:v>7.14</c:v>
                </c:pt>
                <c:pt idx="12">
                  <c:v>6.46</c:v>
                </c:pt>
                <c:pt idx="13">
                  <c:v>7.23</c:v>
                </c:pt>
                <c:pt idx="14">
                  <c:v>7.93</c:v>
                </c:pt>
                <c:pt idx="15">
                  <c:v>9.14</c:v>
                </c:pt>
                <c:pt idx="16">
                  <c:v>8.56</c:v>
                </c:pt>
                <c:pt idx="17">
                  <c:v>8.44</c:v>
                </c:pt>
                <c:pt idx="18">
                  <c:v>8.07</c:v>
                </c:pt>
                <c:pt idx="19">
                  <c:v>7.74</c:v>
                </c:pt>
                <c:pt idx="20">
                  <c:v>8.9499999999999993</c:v>
                </c:pt>
                <c:pt idx="21">
                  <c:v>8.43</c:v>
                </c:pt>
                <c:pt idx="22">
                  <c:v>6.76</c:v>
                </c:pt>
                <c:pt idx="23">
                  <c:v>6.03</c:v>
                </c:pt>
                <c:pt idx="24">
                  <c:v>7.41</c:v>
                </c:pt>
                <c:pt idx="25">
                  <c:v>8.44</c:v>
                </c:pt>
                <c:pt idx="26">
                  <c:v>6.77</c:v>
                </c:pt>
                <c:pt idx="27">
                  <c:v>8.18</c:v>
                </c:pt>
                <c:pt idx="28">
                  <c:v>7.18</c:v>
                </c:pt>
                <c:pt idx="29">
                  <c:v>8.51</c:v>
                </c:pt>
                <c:pt idx="30">
                  <c:v>9.69</c:v>
                </c:pt>
                <c:pt idx="31">
                  <c:v>8.6199999999999992</c:v>
                </c:pt>
                <c:pt idx="32">
                  <c:v>8.7200000000000006</c:v>
                </c:pt>
                <c:pt idx="33">
                  <c:v>9.6999999999999993</c:v>
                </c:pt>
                <c:pt idx="34">
                  <c:v>7.5</c:v>
                </c:pt>
                <c:pt idx="35">
                  <c:v>6.86</c:v>
                </c:pt>
                <c:pt idx="36">
                  <c:v>7.94</c:v>
                </c:pt>
                <c:pt idx="37">
                  <c:v>8.3000000000000007</c:v>
                </c:pt>
                <c:pt idx="38">
                  <c:v>6.82</c:v>
                </c:pt>
                <c:pt idx="39">
                  <c:v>9.65</c:v>
                </c:pt>
                <c:pt idx="40">
                  <c:v>7.77</c:v>
                </c:pt>
                <c:pt idx="41">
                  <c:v>7.42</c:v>
                </c:pt>
                <c:pt idx="42">
                  <c:v>9.4499999999999993</c:v>
                </c:pt>
                <c:pt idx="43">
                  <c:v>9.39</c:v>
                </c:pt>
                <c:pt idx="44">
                  <c:v>8.52</c:v>
                </c:pt>
                <c:pt idx="45">
                  <c:v>6.82</c:v>
                </c:pt>
                <c:pt idx="46">
                  <c:v>6.08</c:v>
                </c:pt>
                <c:pt idx="47">
                  <c:v>8.99</c:v>
                </c:pt>
                <c:pt idx="48">
                  <c:v>8.6300000000000008</c:v>
                </c:pt>
                <c:pt idx="49">
                  <c:v>6.35</c:v>
                </c:pt>
              </c:numCache>
            </c:numRef>
          </c:val>
          <c:extLst>
            <c:ext xmlns:c16="http://schemas.microsoft.com/office/drawing/2014/chart" uri="{C3380CC4-5D6E-409C-BE32-E72D297353CC}">
              <c16:uniqueId val="{00000002-D1C1-4987-9571-987ACC38FC31}"/>
            </c:ext>
          </c:extLst>
        </c:ser>
        <c:ser>
          <c:idx val="3"/>
          <c:order val="3"/>
          <c:tx>
            <c:strRef>
              <c:f>Pivot!$H$18</c:f>
              <c:strCache>
                <c:ptCount val="1"/>
                <c:pt idx="0">
                  <c:v>Sum of Digital Connectivity</c:v>
                </c:pt>
              </c:strCache>
            </c:strRef>
          </c:tx>
          <c:spPr>
            <a:solidFill>
              <a:schemeClr val="accent4"/>
            </a:solidFill>
            <a:ln>
              <a:noFill/>
            </a:ln>
            <a:effectLst/>
          </c:spPr>
          <c:invertIfNegative val="0"/>
          <c:cat>
            <c:strRef>
              <c:f>Pivot!$D$19:$D$70</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Pivot!$H$19:$H$70</c:f>
              <c:numCache>
                <c:formatCode>General</c:formatCode>
                <c:ptCount val="51"/>
                <c:pt idx="0">
                  <c:v>8.9499999999999993</c:v>
                </c:pt>
                <c:pt idx="1">
                  <c:v>7.63</c:v>
                </c:pt>
                <c:pt idx="2">
                  <c:v>7.97</c:v>
                </c:pt>
                <c:pt idx="3">
                  <c:v>9.85</c:v>
                </c:pt>
                <c:pt idx="4">
                  <c:v>8.5299999999999994</c:v>
                </c:pt>
                <c:pt idx="5">
                  <c:v>7.72</c:v>
                </c:pt>
                <c:pt idx="6">
                  <c:v>8.3000000000000007</c:v>
                </c:pt>
                <c:pt idx="7">
                  <c:v>8.6199999999999992</c:v>
                </c:pt>
                <c:pt idx="8">
                  <c:v>8.2799999999999994</c:v>
                </c:pt>
                <c:pt idx="9">
                  <c:v>9.02</c:v>
                </c:pt>
                <c:pt idx="10">
                  <c:v>8.4700000000000006</c:v>
                </c:pt>
                <c:pt idx="11">
                  <c:v>7.02</c:v>
                </c:pt>
                <c:pt idx="12">
                  <c:v>7.48</c:v>
                </c:pt>
                <c:pt idx="13">
                  <c:v>7.66</c:v>
                </c:pt>
                <c:pt idx="14">
                  <c:v>7.53</c:v>
                </c:pt>
                <c:pt idx="15">
                  <c:v>8.81</c:v>
                </c:pt>
                <c:pt idx="16">
                  <c:v>7.85</c:v>
                </c:pt>
                <c:pt idx="17">
                  <c:v>7.18</c:v>
                </c:pt>
                <c:pt idx="18">
                  <c:v>7.2</c:v>
                </c:pt>
                <c:pt idx="19">
                  <c:v>9.48</c:v>
                </c:pt>
                <c:pt idx="20">
                  <c:v>8.1199999999999992</c:v>
                </c:pt>
                <c:pt idx="21">
                  <c:v>8.2100000000000009</c:v>
                </c:pt>
                <c:pt idx="22">
                  <c:v>9.83</c:v>
                </c:pt>
                <c:pt idx="23">
                  <c:v>7.81</c:v>
                </c:pt>
                <c:pt idx="24">
                  <c:v>8.0299999999999994</c:v>
                </c:pt>
                <c:pt idx="25">
                  <c:v>9.08</c:v>
                </c:pt>
                <c:pt idx="26">
                  <c:v>9.8800000000000008</c:v>
                </c:pt>
                <c:pt idx="27">
                  <c:v>7.65</c:v>
                </c:pt>
                <c:pt idx="28">
                  <c:v>7.52</c:v>
                </c:pt>
                <c:pt idx="29">
                  <c:v>9.83</c:v>
                </c:pt>
                <c:pt idx="30">
                  <c:v>7.8</c:v>
                </c:pt>
                <c:pt idx="31">
                  <c:v>8.26</c:v>
                </c:pt>
                <c:pt idx="32">
                  <c:v>8.32</c:v>
                </c:pt>
                <c:pt idx="33">
                  <c:v>9.4499999999999993</c:v>
                </c:pt>
                <c:pt idx="34">
                  <c:v>9.42</c:v>
                </c:pt>
                <c:pt idx="35">
                  <c:v>9.7200000000000006</c:v>
                </c:pt>
                <c:pt idx="36">
                  <c:v>7.1</c:v>
                </c:pt>
                <c:pt idx="37">
                  <c:v>9.1300000000000008</c:v>
                </c:pt>
                <c:pt idx="38">
                  <c:v>8.84</c:v>
                </c:pt>
                <c:pt idx="39">
                  <c:v>7.26</c:v>
                </c:pt>
                <c:pt idx="40">
                  <c:v>7.29</c:v>
                </c:pt>
                <c:pt idx="41">
                  <c:v>9.2899999999999991</c:v>
                </c:pt>
                <c:pt idx="42">
                  <c:v>9.3000000000000007</c:v>
                </c:pt>
                <c:pt idx="43">
                  <c:v>7.44</c:v>
                </c:pt>
                <c:pt idx="44">
                  <c:v>8.76</c:v>
                </c:pt>
                <c:pt idx="45">
                  <c:v>7.81</c:v>
                </c:pt>
                <c:pt idx="46">
                  <c:v>7.35</c:v>
                </c:pt>
                <c:pt idx="47">
                  <c:v>7.89</c:v>
                </c:pt>
                <c:pt idx="48">
                  <c:v>8.61</c:v>
                </c:pt>
                <c:pt idx="49">
                  <c:v>7.18</c:v>
                </c:pt>
              </c:numCache>
            </c:numRef>
          </c:val>
          <c:extLst>
            <c:ext xmlns:c16="http://schemas.microsoft.com/office/drawing/2014/chart" uri="{C3380CC4-5D6E-409C-BE32-E72D297353CC}">
              <c16:uniqueId val="{00000003-D1C1-4987-9571-987ACC38FC31}"/>
            </c:ext>
          </c:extLst>
        </c:ser>
        <c:ser>
          <c:idx val="4"/>
          <c:order val="4"/>
          <c:tx>
            <c:strRef>
              <c:f>Pivot!$I$18</c:f>
              <c:strCache>
                <c:ptCount val="1"/>
                <c:pt idx="0">
                  <c:v>Sum of Air Quality Index</c:v>
                </c:pt>
              </c:strCache>
            </c:strRef>
          </c:tx>
          <c:spPr>
            <a:solidFill>
              <a:schemeClr val="accent5"/>
            </a:solidFill>
            <a:ln>
              <a:noFill/>
            </a:ln>
            <a:effectLst/>
          </c:spPr>
          <c:invertIfNegative val="0"/>
          <c:cat>
            <c:strRef>
              <c:f>Pivot!$D$19:$D$70</c:f>
              <c:strCache>
                <c:ptCount val="51"/>
                <c:pt idx="0">
                  <c:v>Aerolis</c:v>
                </c:pt>
                <c:pt idx="1">
                  <c:v>Aetheris</c:v>
                </c:pt>
                <c:pt idx="2">
                  <c:v>Alphara</c:v>
                </c:pt>
                <c:pt idx="3">
                  <c:v>Aquapolis</c:v>
                </c:pt>
                <c:pt idx="4">
                  <c:v>Aquaterra</c:v>
                </c:pt>
                <c:pt idx="5">
                  <c:v>Arcadia</c:v>
                </c:pt>
                <c:pt idx="6">
                  <c:v>Arcanova</c:v>
                </c:pt>
                <c:pt idx="7">
                  <c:v>Astra</c:v>
                </c:pt>
                <c:pt idx="8">
                  <c:v>Auracity</c:v>
                </c:pt>
                <c:pt idx="9">
                  <c:v>Auralis</c:v>
                </c:pt>
                <c:pt idx="10">
                  <c:v>Axionis</c:v>
                </c:pt>
                <c:pt idx="11">
                  <c:v>Celestia</c:v>
                </c:pt>
                <c:pt idx="12">
                  <c:v>Chronis</c:v>
                </c:pt>
                <c:pt idx="13">
                  <c:v>Clarion</c:v>
                </c:pt>
                <c:pt idx="14">
                  <c:v>Ecolis</c:v>
                </c:pt>
                <c:pt idx="15">
                  <c:v>Eden Prime</c:v>
                </c:pt>
                <c:pt idx="16">
                  <c:v>Edenora</c:v>
                </c:pt>
                <c:pt idx="17">
                  <c:v>Electra City</c:v>
                </c:pt>
                <c:pt idx="18">
                  <c:v>Florentis</c:v>
                </c:pt>
                <c:pt idx="19">
                  <c:v>Futuria</c:v>
                </c:pt>
                <c:pt idx="20">
                  <c:v>Glorion</c:v>
                </c:pt>
                <c:pt idx="21">
                  <c:v>Greenora</c:v>
                </c:pt>
                <c:pt idx="22">
                  <c:v>Harmonia</c:v>
                </c:pt>
                <c:pt idx="23">
                  <c:v>Helion</c:v>
                </c:pt>
                <c:pt idx="24">
                  <c:v>Hyperion</c:v>
                </c:pt>
                <c:pt idx="25">
                  <c:v>Innovara</c:v>
                </c:pt>
                <c:pt idx="26">
                  <c:v>Lumora</c:v>
                </c:pt>
                <c:pt idx="27">
                  <c:v>Lumora Nova</c:v>
                </c:pt>
                <c:pt idx="28">
                  <c:v>Meridian</c:v>
                </c:pt>
                <c:pt idx="29">
                  <c:v>Metronis</c:v>
                </c:pt>
                <c:pt idx="30">
                  <c:v>NeoGreen</c:v>
                </c:pt>
                <c:pt idx="31">
                  <c:v>Neoville</c:v>
                </c:pt>
                <c:pt idx="32">
                  <c:v>Nexora</c:v>
                </c:pt>
                <c:pt idx="33">
                  <c:v>Novaterra</c:v>
                </c:pt>
                <c:pt idx="34">
                  <c:v>Novion</c:v>
                </c:pt>
                <c:pt idx="35">
                  <c:v>Polaris</c:v>
                </c:pt>
                <c:pt idx="36">
                  <c:v>Radiantis</c:v>
                </c:pt>
                <c:pt idx="37">
                  <c:v>Skyhaven</c:v>
                </c:pt>
                <c:pt idx="38">
                  <c:v>Skyline City</c:v>
                </c:pt>
                <c:pt idx="39">
                  <c:v>Solaria</c:v>
                </c:pt>
                <c:pt idx="40">
                  <c:v>Solaris Prime</c:v>
                </c:pt>
                <c:pt idx="41">
                  <c:v>Technora</c:v>
                </c:pt>
                <c:pt idx="42">
                  <c:v>Terranova</c:v>
                </c:pt>
                <c:pt idx="43">
                  <c:v>Utopis</c:v>
                </c:pt>
                <c:pt idx="44">
                  <c:v>Velonix</c:v>
                </c:pt>
                <c:pt idx="45">
                  <c:v>Vionara</c:v>
                </c:pt>
                <c:pt idx="46">
                  <c:v>Virelia</c:v>
                </c:pt>
                <c:pt idx="47">
                  <c:v>Zenith Prime</c:v>
                </c:pt>
                <c:pt idx="48">
                  <c:v>Zenithia</c:v>
                </c:pt>
                <c:pt idx="49">
                  <c:v>Zynthera</c:v>
                </c:pt>
                <c:pt idx="50">
                  <c:v>(blank)</c:v>
                </c:pt>
              </c:strCache>
            </c:strRef>
          </c:cat>
          <c:val>
            <c:numRef>
              <c:f>Pivot!$I$19:$I$70</c:f>
              <c:numCache>
                <c:formatCode>General</c:formatCode>
                <c:ptCount val="51"/>
                <c:pt idx="0">
                  <c:v>21</c:v>
                </c:pt>
                <c:pt idx="1">
                  <c:v>33</c:v>
                </c:pt>
                <c:pt idx="2">
                  <c:v>20</c:v>
                </c:pt>
                <c:pt idx="3">
                  <c:v>23</c:v>
                </c:pt>
                <c:pt idx="4">
                  <c:v>52</c:v>
                </c:pt>
                <c:pt idx="5">
                  <c:v>37</c:v>
                </c:pt>
                <c:pt idx="6">
                  <c:v>70</c:v>
                </c:pt>
                <c:pt idx="7">
                  <c:v>67</c:v>
                </c:pt>
                <c:pt idx="8">
                  <c:v>52</c:v>
                </c:pt>
                <c:pt idx="9">
                  <c:v>43</c:v>
                </c:pt>
                <c:pt idx="10">
                  <c:v>69</c:v>
                </c:pt>
                <c:pt idx="11">
                  <c:v>19</c:v>
                </c:pt>
                <c:pt idx="12">
                  <c:v>10</c:v>
                </c:pt>
                <c:pt idx="13">
                  <c:v>29</c:v>
                </c:pt>
                <c:pt idx="14">
                  <c:v>28</c:v>
                </c:pt>
                <c:pt idx="15">
                  <c:v>61</c:v>
                </c:pt>
                <c:pt idx="16">
                  <c:v>70</c:v>
                </c:pt>
                <c:pt idx="17">
                  <c:v>53</c:v>
                </c:pt>
                <c:pt idx="18">
                  <c:v>24</c:v>
                </c:pt>
                <c:pt idx="19">
                  <c:v>46</c:v>
                </c:pt>
                <c:pt idx="20">
                  <c:v>42</c:v>
                </c:pt>
                <c:pt idx="21">
                  <c:v>40</c:v>
                </c:pt>
                <c:pt idx="22">
                  <c:v>11</c:v>
                </c:pt>
                <c:pt idx="23">
                  <c:v>25</c:v>
                </c:pt>
                <c:pt idx="24">
                  <c:v>66</c:v>
                </c:pt>
                <c:pt idx="25">
                  <c:v>62</c:v>
                </c:pt>
                <c:pt idx="26">
                  <c:v>29</c:v>
                </c:pt>
                <c:pt idx="27">
                  <c:v>15</c:v>
                </c:pt>
                <c:pt idx="28">
                  <c:v>52</c:v>
                </c:pt>
                <c:pt idx="29">
                  <c:v>12</c:v>
                </c:pt>
                <c:pt idx="30">
                  <c:v>38</c:v>
                </c:pt>
                <c:pt idx="31">
                  <c:v>67</c:v>
                </c:pt>
                <c:pt idx="32">
                  <c:v>30</c:v>
                </c:pt>
                <c:pt idx="33">
                  <c:v>17</c:v>
                </c:pt>
                <c:pt idx="34">
                  <c:v>33</c:v>
                </c:pt>
                <c:pt idx="35">
                  <c:v>63</c:v>
                </c:pt>
                <c:pt idx="36">
                  <c:v>64</c:v>
                </c:pt>
                <c:pt idx="37">
                  <c:v>53</c:v>
                </c:pt>
                <c:pt idx="38">
                  <c:v>44</c:v>
                </c:pt>
                <c:pt idx="39">
                  <c:v>66</c:v>
                </c:pt>
                <c:pt idx="40">
                  <c:v>24</c:v>
                </c:pt>
                <c:pt idx="41">
                  <c:v>47</c:v>
                </c:pt>
                <c:pt idx="42">
                  <c:v>54</c:v>
                </c:pt>
                <c:pt idx="43">
                  <c:v>39</c:v>
                </c:pt>
                <c:pt idx="44">
                  <c:v>21</c:v>
                </c:pt>
                <c:pt idx="45">
                  <c:v>47</c:v>
                </c:pt>
                <c:pt idx="46">
                  <c:v>41</c:v>
                </c:pt>
                <c:pt idx="47">
                  <c:v>45</c:v>
                </c:pt>
                <c:pt idx="48">
                  <c:v>27</c:v>
                </c:pt>
                <c:pt idx="49">
                  <c:v>69</c:v>
                </c:pt>
              </c:numCache>
            </c:numRef>
          </c:val>
          <c:extLst>
            <c:ext xmlns:c16="http://schemas.microsoft.com/office/drawing/2014/chart" uri="{C3380CC4-5D6E-409C-BE32-E72D297353CC}">
              <c16:uniqueId val="{00000004-D1C1-4987-9571-987ACC38FC31}"/>
            </c:ext>
          </c:extLst>
        </c:ser>
        <c:dLbls>
          <c:showLegendKey val="0"/>
          <c:showVal val="0"/>
          <c:showCatName val="0"/>
          <c:showSerName val="0"/>
          <c:showPercent val="0"/>
          <c:showBubbleSize val="0"/>
        </c:dLbls>
        <c:gapWidth val="182"/>
        <c:axId val="529218079"/>
        <c:axId val="529211839"/>
      </c:barChart>
      <c:catAx>
        <c:axId val="52921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11839"/>
        <c:crosses val="autoZero"/>
        <c:auto val="1"/>
        <c:lblAlgn val="ctr"/>
        <c:lblOffset val="100"/>
        <c:noMultiLvlLbl val="0"/>
      </c:catAx>
      <c:valAx>
        <c:axId val="529211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1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[Dream_City_Happiness_Project.xlsx]Pivot!PivotTable6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Happiness</a:t>
            </a:r>
            <a:r>
              <a:rPr lang="en-IN" sz="1800" b="1" baseline="0"/>
              <a:t> VS  Income </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Pivot!$M$2</c:f>
              <c:strCache>
                <c:ptCount val="1"/>
                <c:pt idx="0">
                  <c:v>Total</c:v>
                </c:pt>
              </c:strCache>
            </c:strRef>
          </c:tx>
          <c:spPr>
            <a:ln w="28575" cap="rnd">
              <a:solidFill>
                <a:schemeClr val="accent1"/>
              </a:solidFill>
              <a:round/>
            </a:ln>
            <a:effectLst/>
          </c:spPr>
          <c:marker>
            <c:symbol val="none"/>
          </c:marker>
          <c:cat>
            <c:strRef>
              <c:f>Pivot!$L$3:$L$50</c:f>
              <c:strCache>
                <c:ptCount val="47"/>
                <c:pt idx="0">
                  <c:v>6.53</c:v>
                </c:pt>
                <c:pt idx="1">
                  <c:v>6.56</c:v>
                </c:pt>
                <c:pt idx="2">
                  <c:v>6.57</c:v>
                </c:pt>
                <c:pt idx="3">
                  <c:v>6.59</c:v>
                </c:pt>
                <c:pt idx="4">
                  <c:v>6.67</c:v>
                </c:pt>
                <c:pt idx="5">
                  <c:v>6.69</c:v>
                </c:pt>
                <c:pt idx="6">
                  <c:v>6.88</c:v>
                </c:pt>
                <c:pt idx="7">
                  <c:v>6.89</c:v>
                </c:pt>
                <c:pt idx="8">
                  <c:v>6.92</c:v>
                </c:pt>
                <c:pt idx="9">
                  <c:v>6.93</c:v>
                </c:pt>
                <c:pt idx="10">
                  <c:v>7.12</c:v>
                </c:pt>
                <c:pt idx="11">
                  <c:v>7.16</c:v>
                </c:pt>
                <c:pt idx="12">
                  <c:v>7.2</c:v>
                </c:pt>
                <c:pt idx="13">
                  <c:v>7.26</c:v>
                </c:pt>
                <c:pt idx="14">
                  <c:v>7.42</c:v>
                </c:pt>
                <c:pt idx="15">
                  <c:v>7.45</c:v>
                </c:pt>
                <c:pt idx="16">
                  <c:v>7.46</c:v>
                </c:pt>
                <c:pt idx="17">
                  <c:v>7.48</c:v>
                </c:pt>
                <c:pt idx="18">
                  <c:v>7.62</c:v>
                </c:pt>
                <c:pt idx="19">
                  <c:v>7.65</c:v>
                </c:pt>
                <c:pt idx="20">
                  <c:v>7.82</c:v>
                </c:pt>
                <c:pt idx="21">
                  <c:v>7.83</c:v>
                </c:pt>
                <c:pt idx="22">
                  <c:v>7.91</c:v>
                </c:pt>
                <c:pt idx="23">
                  <c:v>7.93</c:v>
                </c:pt>
                <c:pt idx="24">
                  <c:v>7.97</c:v>
                </c:pt>
                <c:pt idx="25">
                  <c:v>7.98</c:v>
                </c:pt>
                <c:pt idx="26">
                  <c:v>8.08</c:v>
                </c:pt>
                <c:pt idx="27">
                  <c:v>8.24</c:v>
                </c:pt>
                <c:pt idx="28">
                  <c:v>8.26</c:v>
                </c:pt>
                <c:pt idx="29">
                  <c:v>8.27</c:v>
                </c:pt>
                <c:pt idx="30">
                  <c:v>8.33</c:v>
                </c:pt>
                <c:pt idx="31">
                  <c:v>8.41</c:v>
                </c:pt>
                <c:pt idx="32">
                  <c:v>8.42</c:v>
                </c:pt>
                <c:pt idx="33">
                  <c:v>8.43</c:v>
                </c:pt>
                <c:pt idx="34">
                  <c:v>8.48</c:v>
                </c:pt>
                <c:pt idx="35">
                  <c:v>8.53</c:v>
                </c:pt>
                <c:pt idx="36">
                  <c:v>8.68</c:v>
                </c:pt>
                <c:pt idx="37">
                  <c:v>8.82</c:v>
                </c:pt>
                <c:pt idx="38">
                  <c:v>8.97</c:v>
                </c:pt>
                <c:pt idx="39">
                  <c:v>9.04</c:v>
                </c:pt>
                <c:pt idx="40">
                  <c:v>9.06</c:v>
                </c:pt>
                <c:pt idx="41">
                  <c:v>9.16</c:v>
                </c:pt>
                <c:pt idx="42">
                  <c:v>9.27</c:v>
                </c:pt>
                <c:pt idx="43">
                  <c:v>9.63</c:v>
                </c:pt>
                <c:pt idx="44">
                  <c:v>9.75</c:v>
                </c:pt>
                <c:pt idx="45">
                  <c:v>9.78</c:v>
                </c:pt>
                <c:pt idx="46">
                  <c:v>(blank)</c:v>
                </c:pt>
              </c:strCache>
            </c:strRef>
          </c:cat>
          <c:val>
            <c:numRef>
              <c:f>Pivot!$M$3:$M$50</c:f>
              <c:numCache>
                <c:formatCode>General</c:formatCode>
                <c:ptCount val="47"/>
                <c:pt idx="0">
                  <c:v>4366</c:v>
                </c:pt>
                <c:pt idx="1">
                  <c:v>4317</c:v>
                </c:pt>
                <c:pt idx="2">
                  <c:v>3253</c:v>
                </c:pt>
                <c:pt idx="3">
                  <c:v>3199</c:v>
                </c:pt>
                <c:pt idx="4">
                  <c:v>1927</c:v>
                </c:pt>
                <c:pt idx="5">
                  <c:v>5880</c:v>
                </c:pt>
                <c:pt idx="6">
                  <c:v>4368</c:v>
                </c:pt>
                <c:pt idx="7">
                  <c:v>3245</c:v>
                </c:pt>
                <c:pt idx="8">
                  <c:v>4344</c:v>
                </c:pt>
                <c:pt idx="9">
                  <c:v>5788</c:v>
                </c:pt>
                <c:pt idx="10">
                  <c:v>1990</c:v>
                </c:pt>
                <c:pt idx="11">
                  <c:v>1525</c:v>
                </c:pt>
                <c:pt idx="12">
                  <c:v>4808</c:v>
                </c:pt>
                <c:pt idx="13">
                  <c:v>2949</c:v>
                </c:pt>
                <c:pt idx="14">
                  <c:v>5734.5</c:v>
                </c:pt>
                <c:pt idx="15">
                  <c:v>2949</c:v>
                </c:pt>
                <c:pt idx="16">
                  <c:v>4324</c:v>
                </c:pt>
                <c:pt idx="17">
                  <c:v>3923</c:v>
                </c:pt>
                <c:pt idx="18">
                  <c:v>3772</c:v>
                </c:pt>
                <c:pt idx="19">
                  <c:v>4637</c:v>
                </c:pt>
                <c:pt idx="20">
                  <c:v>4372</c:v>
                </c:pt>
                <c:pt idx="21">
                  <c:v>2179</c:v>
                </c:pt>
                <c:pt idx="22">
                  <c:v>4624</c:v>
                </c:pt>
                <c:pt idx="23">
                  <c:v>3086</c:v>
                </c:pt>
                <c:pt idx="24">
                  <c:v>3426</c:v>
                </c:pt>
                <c:pt idx="25">
                  <c:v>2932</c:v>
                </c:pt>
                <c:pt idx="26">
                  <c:v>2584</c:v>
                </c:pt>
                <c:pt idx="27">
                  <c:v>4580</c:v>
                </c:pt>
                <c:pt idx="28">
                  <c:v>5739</c:v>
                </c:pt>
                <c:pt idx="29">
                  <c:v>3073</c:v>
                </c:pt>
                <c:pt idx="30">
                  <c:v>2223</c:v>
                </c:pt>
                <c:pt idx="31">
                  <c:v>4546</c:v>
                </c:pt>
                <c:pt idx="32">
                  <c:v>3626</c:v>
                </c:pt>
                <c:pt idx="33">
                  <c:v>5646</c:v>
                </c:pt>
                <c:pt idx="34">
                  <c:v>4972</c:v>
                </c:pt>
                <c:pt idx="35">
                  <c:v>3512</c:v>
                </c:pt>
                <c:pt idx="36">
                  <c:v>4089</c:v>
                </c:pt>
                <c:pt idx="37">
                  <c:v>3447</c:v>
                </c:pt>
                <c:pt idx="38">
                  <c:v>2078</c:v>
                </c:pt>
                <c:pt idx="39">
                  <c:v>2103</c:v>
                </c:pt>
                <c:pt idx="40">
                  <c:v>5219</c:v>
                </c:pt>
                <c:pt idx="41">
                  <c:v>5491</c:v>
                </c:pt>
                <c:pt idx="42">
                  <c:v>3764</c:v>
                </c:pt>
                <c:pt idx="43">
                  <c:v>2679</c:v>
                </c:pt>
                <c:pt idx="44">
                  <c:v>2828</c:v>
                </c:pt>
                <c:pt idx="45">
                  <c:v>2414</c:v>
                </c:pt>
              </c:numCache>
            </c:numRef>
          </c:val>
          <c:smooth val="0"/>
          <c:extLst>
            <c:ext xmlns:c16="http://schemas.microsoft.com/office/drawing/2014/chart" uri="{C3380CC4-5D6E-409C-BE32-E72D297353CC}">
              <c16:uniqueId val="{00000000-5A7B-42D5-BB42-EBB2B480A1E3}"/>
            </c:ext>
          </c:extLst>
        </c:ser>
        <c:dLbls>
          <c:showLegendKey val="0"/>
          <c:showVal val="0"/>
          <c:showCatName val="0"/>
          <c:showSerName val="0"/>
          <c:showPercent val="0"/>
          <c:showBubbleSize val="0"/>
        </c:dLbls>
        <c:smooth val="0"/>
        <c:axId val="778433967"/>
        <c:axId val="778434447"/>
      </c:lineChart>
      <c:catAx>
        <c:axId val="77843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34447"/>
        <c:crosses val="autoZero"/>
        <c:auto val="1"/>
        <c:lblAlgn val="ctr"/>
        <c:lblOffset val="100"/>
        <c:noMultiLvlLbl val="0"/>
      </c:catAx>
      <c:valAx>
        <c:axId val="77843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3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9896</xdr:colOff>
      <xdr:row>1</xdr:row>
      <xdr:rowOff>9896</xdr:rowOff>
    </xdr:from>
    <xdr:to>
      <xdr:col>8</xdr:col>
      <xdr:colOff>9896</xdr:colOff>
      <xdr:row>4</xdr:row>
      <xdr:rowOff>168234</xdr:rowOff>
    </xdr:to>
    <xdr:sp macro="" textlink="">
      <xdr:nvSpPr>
        <xdr:cNvPr id="2" name="Rectangle 1">
          <a:extLst>
            <a:ext uri="{FF2B5EF4-FFF2-40B4-BE49-F238E27FC236}">
              <a16:creationId xmlns:a16="http://schemas.microsoft.com/office/drawing/2014/main" id="{BEDB9CE7-C5C9-2982-9992-172DE8CE460D}"/>
            </a:ext>
          </a:extLst>
        </xdr:cNvPr>
        <xdr:cNvSpPr/>
      </xdr:nvSpPr>
      <xdr:spPr>
        <a:xfrm>
          <a:off x="4265221" y="188026"/>
          <a:ext cx="1840675" cy="692727"/>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504702</xdr:colOff>
      <xdr:row>1</xdr:row>
      <xdr:rowOff>39585</xdr:rowOff>
    </xdr:from>
    <xdr:ext cx="2157350" cy="311496"/>
    <xdr:sp macro="" textlink="">
      <xdr:nvSpPr>
        <xdr:cNvPr id="3" name="TextBox 2">
          <a:extLst>
            <a:ext uri="{FF2B5EF4-FFF2-40B4-BE49-F238E27FC236}">
              <a16:creationId xmlns:a16="http://schemas.microsoft.com/office/drawing/2014/main" id="{10DB0199-13AB-5A5E-C114-F218422E4488}"/>
            </a:ext>
          </a:extLst>
        </xdr:cNvPr>
        <xdr:cNvSpPr txBox="1"/>
      </xdr:nvSpPr>
      <xdr:spPr>
        <a:xfrm>
          <a:off x="4146468" y="217715"/>
          <a:ext cx="215735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400" b="1"/>
            <a:t>Avg Happniess Score</a:t>
          </a:r>
        </a:p>
      </xdr:txBody>
    </xdr:sp>
    <xdr:clientData/>
  </xdr:oneCellAnchor>
  <xdr:oneCellAnchor>
    <xdr:from>
      <xdr:col>14</xdr:col>
      <xdr:colOff>19791</xdr:colOff>
      <xdr:row>7</xdr:row>
      <xdr:rowOff>135909</xdr:rowOff>
    </xdr:from>
    <xdr:ext cx="1672441" cy="264560"/>
    <xdr:sp macro="" textlink="">
      <xdr:nvSpPr>
        <xdr:cNvPr id="4" name="TextBox 3">
          <a:extLst>
            <a:ext uri="{FF2B5EF4-FFF2-40B4-BE49-F238E27FC236}">
              <a16:creationId xmlns:a16="http://schemas.microsoft.com/office/drawing/2014/main" id="{509CDF2F-A442-B4EE-BF38-D770B706549F}"/>
            </a:ext>
          </a:extLst>
        </xdr:cNvPr>
        <xdr:cNvSpPr txBox="1"/>
      </xdr:nvSpPr>
      <xdr:spPr>
        <a:xfrm flipH="1" flipV="1">
          <a:off x="9797142" y="1382818"/>
          <a:ext cx="16724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a:t>
          </a:r>
        </a:p>
      </xdr:txBody>
    </xdr:sp>
    <xdr:clientData/>
  </xdr:oneCellAnchor>
  <xdr:twoCellAnchor>
    <xdr:from>
      <xdr:col>5</xdr:col>
      <xdr:colOff>306779</xdr:colOff>
      <xdr:row>2</xdr:row>
      <xdr:rowOff>128649</xdr:rowOff>
    </xdr:from>
    <xdr:to>
      <xdr:col>7</xdr:col>
      <xdr:colOff>385948</xdr:colOff>
      <xdr:row>4</xdr:row>
      <xdr:rowOff>128650</xdr:rowOff>
    </xdr:to>
    <xdr:sp macro="" textlink="">
      <xdr:nvSpPr>
        <xdr:cNvPr id="5" name="TextBox 4">
          <a:extLst>
            <a:ext uri="{FF2B5EF4-FFF2-40B4-BE49-F238E27FC236}">
              <a16:creationId xmlns:a16="http://schemas.microsoft.com/office/drawing/2014/main" id="{01A7A068-0997-C624-E22C-2926C451DE33}"/>
            </a:ext>
          </a:extLst>
        </xdr:cNvPr>
        <xdr:cNvSpPr txBox="1"/>
      </xdr:nvSpPr>
      <xdr:spPr>
        <a:xfrm>
          <a:off x="4562104" y="484909"/>
          <a:ext cx="1306286" cy="3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i="0" u="none" strike="noStrike">
              <a:solidFill>
                <a:schemeClr val="dk1"/>
              </a:solidFill>
              <a:effectLst/>
              <a:latin typeface="+mn-lt"/>
              <a:ea typeface="+mn-ea"/>
              <a:cs typeface="+mn-cs"/>
            </a:rPr>
            <a:t>7.86</a:t>
          </a:r>
          <a:r>
            <a:rPr lang="en-IN" sz="1800">
              <a:effectLst/>
            </a:rPr>
            <a:t> </a:t>
          </a:r>
          <a:endParaRPr lang="en-IN"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150813</xdr:rowOff>
    </xdr:from>
    <xdr:to>
      <xdr:col>7</xdr:col>
      <xdr:colOff>304800</xdr:colOff>
      <xdr:row>18</xdr:row>
      <xdr:rowOff>150813</xdr:rowOff>
    </xdr:to>
    <xdr:graphicFrame macro="">
      <xdr:nvGraphicFramePr>
        <xdr:cNvPr id="2" name="Chart 1">
          <a:extLst>
            <a:ext uri="{FF2B5EF4-FFF2-40B4-BE49-F238E27FC236}">
              <a16:creationId xmlns:a16="http://schemas.microsoft.com/office/drawing/2014/main" id="{AB7F985D-65D6-4881-9365-A57590B53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403542</xdr:colOff>
      <xdr:row>3</xdr:row>
      <xdr:rowOff>151447</xdr:rowOff>
    </xdr:from>
    <xdr:to>
      <xdr:col>15</xdr:col>
      <xdr:colOff>159702</xdr:colOff>
      <xdr:row>18</xdr:row>
      <xdr:rowOff>151448</xdr:rowOff>
    </xdr:to>
    <xdr:graphicFrame macro="">
      <xdr:nvGraphicFramePr>
        <xdr:cNvPr id="3" name="Chart 2">
          <a:extLst>
            <a:ext uri="{FF2B5EF4-FFF2-40B4-BE49-F238E27FC236}">
              <a16:creationId xmlns:a16="http://schemas.microsoft.com/office/drawing/2014/main" id="{F8FB1CCA-8B39-4D93-81A3-4CA24481A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304800</xdr:colOff>
      <xdr:row>3</xdr:row>
      <xdr:rowOff>151447</xdr:rowOff>
    </xdr:from>
    <xdr:to>
      <xdr:col>23</xdr:col>
      <xdr:colOff>0</xdr:colOff>
      <xdr:row>18</xdr:row>
      <xdr:rowOff>151448</xdr:rowOff>
    </xdr:to>
    <xdr:graphicFrame macro="">
      <xdr:nvGraphicFramePr>
        <xdr:cNvPr id="4" name="Chart 3">
          <a:extLst>
            <a:ext uri="{FF2B5EF4-FFF2-40B4-BE49-F238E27FC236}">
              <a16:creationId xmlns:a16="http://schemas.microsoft.com/office/drawing/2014/main" id="{82A7BA7B-C61B-4C62-B7A0-94F9FCD26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106362</xdr:rowOff>
    </xdr:from>
    <xdr:to>
      <xdr:col>3</xdr:col>
      <xdr:colOff>0</xdr:colOff>
      <xdr:row>33</xdr:row>
      <xdr:rowOff>13017</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B1F0241-9FC2-4F82-B11C-6489E25DB6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3575050"/>
              <a:ext cx="1833563" cy="246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19</xdr:row>
      <xdr:rowOff>106362</xdr:rowOff>
    </xdr:from>
    <xdr:to>
      <xdr:col>6</xdr:col>
      <xdr:colOff>202532</xdr:colOff>
      <xdr:row>33</xdr:row>
      <xdr:rowOff>13017</xdr:rowOff>
    </xdr:to>
    <mc:AlternateContent xmlns:mc="http://schemas.openxmlformats.org/markup-compatibility/2006" xmlns:a14="http://schemas.microsoft.com/office/drawing/2010/main">
      <mc:Choice Requires="a14">
        <xdr:graphicFrame macro="">
          <xdr:nvGraphicFramePr>
            <xdr:cNvPr id="6" name="Population (millions)">
              <a:extLst>
                <a:ext uri="{FF2B5EF4-FFF2-40B4-BE49-F238E27FC236}">
                  <a16:creationId xmlns:a16="http://schemas.microsoft.com/office/drawing/2014/main" id="{9C467D29-552A-488F-8463-2894421E2F37}"/>
                </a:ext>
              </a:extLst>
            </xdr:cNvPr>
            <xdr:cNvGraphicFramePr/>
          </xdr:nvGraphicFramePr>
          <xdr:xfrm>
            <a:off x="0" y="0"/>
            <a:ext cx="0" cy="0"/>
          </xdr:xfrm>
          <a:graphic>
            <a:graphicData uri="http://schemas.microsoft.com/office/drawing/2010/slicer">
              <sle:slicer xmlns:sle="http://schemas.microsoft.com/office/drawing/2010/slicer" name="Population (millions)"/>
            </a:graphicData>
          </a:graphic>
        </xdr:graphicFrame>
      </mc:Choice>
      <mc:Fallback xmlns="">
        <xdr:sp macro="" textlink="">
          <xdr:nvSpPr>
            <xdr:cNvPr id="0" name=""/>
            <xdr:cNvSpPr>
              <a:spLocks noTextEdit="1"/>
            </xdr:cNvSpPr>
          </xdr:nvSpPr>
          <xdr:spPr>
            <a:xfrm>
              <a:off x="1947863" y="3575050"/>
              <a:ext cx="1833562" cy="24625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285750</xdr:colOff>
      <xdr:row>19</xdr:row>
      <xdr:rowOff>79376</xdr:rowOff>
    </xdr:from>
    <xdr:to>
      <xdr:col>17</xdr:col>
      <xdr:colOff>254000</xdr:colOff>
      <xdr:row>33</xdr:row>
      <xdr:rowOff>1</xdr:rowOff>
    </xdr:to>
    <xdr:graphicFrame macro="">
      <xdr:nvGraphicFramePr>
        <xdr:cNvPr id="8" name="Chart 7">
          <a:extLst>
            <a:ext uri="{FF2B5EF4-FFF2-40B4-BE49-F238E27FC236}">
              <a16:creationId xmlns:a16="http://schemas.microsoft.com/office/drawing/2014/main" id="{20275078-8355-4FC4-8255-16E2EC4E8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201295</xdr:colOff>
      <xdr:row>19</xdr:row>
      <xdr:rowOff>104140</xdr:rowOff>
    </xdr:from>
    <xdr:to>
      <xdr:col>9</xdr:col>
      <xdr:colOff>196532</xdr:colOff>
      <xdr:row>33</xdr:row>
      <xdr:rowOff>15240</xdr:rowOff>
    </xdr:to>
    <mc:AlternateContent xmlns:mc="http://schemas.openxmlformats.org/markup-compatibility/2006" xmlns:a14="http://schemas.microsoft.com/office/drawing/2010/main">
      <mc:Choice Requires="a14">
        <xdr:graphicFrame macro="">
          <xdr:nvGraphicFramePr>
            <xdr:cNvPr id="9" name="Avg Monthly Income ($)">
              <a:extLst>
                <a:ext uri="{FF2B5EF4-FFF2-40B4-BE49-F238E27FC236}">
                  <a16:creationId xmlns:a16="http://schemas.microsoft.com/office/drawing/2014/main" id="{550676C7-2FE8-7CCF-AEA2-4738114C8B01}"/>
                </a:ext>
              </a:extLst>
            </xdr:cNvPr>
            <xdr:cNvGraphicFramePr/>
          </xdr:nvGraphicFramePr>
          <xdr:xfrm>
            <a:off x="0" y="0"/>
            <a:ext cx="0" cy="0"/>
          </xdr:xfrm>
          <a:graphic>
            <a:graphicData uri="http://schemas.microsoft.com/office/drawing/2010/slicer">
              <sle:slicer xmlns:sle="http://schemas.microsoft.com/office/drawing/2010/slicer" name="Avg Monthly Income ($)"/>
            </a:graphicData>
          </a:graphic>
        </xdr:graphicFrame>
      </mc:Choice>
      <mc:Fallback xmlns="">
        <xdr:sp macro="" textlink="">
          <xdr:nvSpPr>
            <xdr:cNvPr id="0" name=""/>
            <xdr:cNvSpPr>
              <a:spLocks noTextEdit="1"/>
            </xdr:cNvSpPr>
          </xdr:nvSpPr>
          <xdr:spPr>
            <a:xfrm>
              <a:off x="3858895" y="3609340"/>
              <a:ext cx="1824037" cy="249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AYANI" refreshedDate="45965.453062962966" createdVersion="8" refreshedVersion="8" minRefreshableVersion="3" recordCount="52" xr:uid="{C6A21E6D-D832-4762-A8D1-7DCE8055D36A}">
  <cacheSource type="worksheet">
    <worksheetSource ref="A1:K1048576" sheet="Table1"/>
  </cacheSource>
  <cacheFields count="11">
    <cacheField name="City" numFmtId="0">
      <sharedItems containsBlank="1" count="51">
        <s v="Auracity"/>
        <s v="Solaria"/>
        <s v="NeoGreen"/>
        <s v="Lumora"/>
        <s v="Novaterra"/>
        <s v="Skyhaven"/>
        <s v="Aquapolis"/>
        <s v="Edenora"/>
        <s v="Metronis"/>
        <s v="Celestia"/>
        <s v="Arcanova"/>
        <s v="Zenithia"/>
        <s v="Ecolis"/>
        <s v="Innovara"/>
        <s v="Virelia"/>
        <s v="Terranova"/>
        <s v="Auralis"/>
        <s v="Velonix"/>
        <s v="Florentis"/>
        <s v="Arcadia"/>
        <s v="Zynthera"/>
        <s v="Solaris Prime"/>
        <s v="Harmonia"/>
        <s v="Technora"/>
        <s v="Greenora"/>
        <s v="Helion"/>
        <s v="Utopis"/>
        <s v="Nexora"/>
        <s v="Radiantis"/>
        <s v="Aquaterra"/>
        <s v="Clarion"/>
        <s v="Aetheris"/>
        <s v="Electra City"/>
        <s v="Lumora Nova"/>
        <s v="Eden Prime"/>
        <s v="Polaris"/>
        <s v="Axionis"/>
        <s v="Glorion"/>
        <s v="Neoville"/>
        <s v="Astra"/>
        <s v="Meridian"/>
        <s v="Hyperion"/>
        <s v="Vionara"/>
        <s v="Chronis"/>
        <s v="Futuria"/>
        <s v="Aerolis"/>
        <s v="Novion"/>
        <s v="Zenith Prime"/>
        <s v="Alphara"/>
        <s v="Skyline City"/>
        <m/>
      </sharedItems>
    </cacheField>
    <cacheField name="Country" numFmtId="0">
      <sharedItems containsBlank="1" count="11">
        <s v="Brazil"/>
        <s v="Japan"/>
        <s v="Singapore"/>
        <s v="Canada"/>
        <s v="USA"/>
        <s v="Germany"/>
        <s v="UAE"/>
        <s v="Australia"/>
        <s v="France"/>
        <s v="India"/>
        <m/>
      </sharedItems>
    </cacheField>
    <cacheField name="Population (millions)" numFmtId="0">
      <sharedItems containsString="0" containsBlank="1" containsNumber="1" minValue="2.4" maxValue="14.9" count="42">
        <n v="8.6999999999999993"/>
        <n v="4.0999999999999996"/>
        <n v="8.3000000000000007"/>
        <n v="14.7"/>
        <n v="5.9"/>
        <n v="11.9"/>
        <n v="6.1"/>
        <n v="9"/>
        <n v="9.3000000000000007"/>
        <n v="9.9"/>
        <n v="5.0999999999999996"/>
        <n v="12.5"/>
        <n v="13.6"/>
        <n v="11.1"/>
        <n v="11.5"/>
        <n v="7.1"/>
        <n v="3.3"/>
        <n v="7.7"/>
        <n v="2.4"/>
        <n v="14.1"/>
        <n v="5.2"/>
        <n v="14.2"/>
        <n v="10.3"/>
        <n v="14.6"/>
        <n v="8.9"/>
        <n v="12.6"/>
        <n v="10.5"/>
        <n v="13.1"/>
        <n v="12.3"/>
        <n v="14.9"/>
        <n v="11.4"/>
        <n v="3.2"/>
        <n v="11.7"/>
        <n v="10.6"/>
        <n v="8.4"/>
        <n v="14"/>
        <n v="7"/>
        <n v="4.7"/>
        <n v="13.4"/>
        <n v="3.1"/>
        <n v="11.8"/>
        <m/>
      </sharedItems>
    </cacheField>
    <cacheField name="Happiness Score" numFmtId="0">
      <sharedItems containsString="0" containsBlank="1" containsNumber="1" minValue="6.53" maxValue="9.7799999999999994"/>
    </cacheField>
    <cacheField name="Air Quality Index" numFmtId="0">
      <sharedItems containsString="0" containsBlank="1" containsNumber="1" containsInteger="1" minValue="10" maxValue="70"/>
    </cacheField>
    <cacheField name="Green Area %" numFmtId="0">
      <sharedItems containsString="0" containsBlank="1" containsNumber="1" containsInteger="1" minValue="21" maxValue="60"/>
    </cacheField>
    <cacheField name="Education Index" numFmtId="0">
      <sharedItems containsString="0" containsBlank="1" containsNumber="1" minValue="7.05" maxValue="9.7899999999999991"/>
    </cacheField>
    <cacheField name="Digital Connectivity" numFmtId="0">
      <sharedItems containsString="0" containsBlank="1" containsNumber="1" minValue="7.02" maxValue="9.8800000000000008"/>
    </cacheField>
    <cacheField name="Avg Monthly Income ($)" numFmtId="0">
      <sharedItems containsString="0" containsBlank="1" containsNumber="1" containsInteger="1" minValue="1525" maxValue="5880"/>
    </cacheField>
    <cacheField name="Safety Score" numFmtId="0">
      <sharedItems containsString="0" containsBlank="1" containsNumber="1" minValue="6.03" maxValue="9.6999999999999993"/>
    </cacheField>
    <cacheField name="Overall Rating" numFmtId="0">
      <sharedItems containsString="0" containsBlank="1" containsNumber="1" minValue="5.96" maxValue="8.6999999999999993"/>
    </cacheField>
  </cacheFields>
  <extLst>
    <ext xmlns:x14="http://schemas.microsoft.com/office/spreadsheetml/2009/9/main" uri="{725AE2AE-9491-48be-B2B4-4EB974FC3084}">
      <x14:pivotCacheDefinition pivotCacheId="30224299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AYANI" refreshedDate="45965.488924999998" createdVersion="8" refreshedVersion="8" minRefreshableVersion="3" recordCount="51" xr:uid="{B2E13CC8-9328-4E19-99BD-35CA3D8F4C55}">
  <cacheSource type="worksheet">
    <worksheetSource name="Table2"/>
  </cacheSource>
  <cacheFields count="11">
    <cacheField name="City" numFmtId="0">
      <sharedItems containsBlank="1"/>
    </cacheField>
    <cacheField name="Country" numFmtId="0">
      <sharedItems containsBlank="1"/>
    </cacheField>
    <cacheField name="Population (millions)" numFmtId="0">
      <sharedItems containsString="0" containsBlank="1" containsNumber="1" minValue="2.4" maxValue="14.9"/>
    </cacheField>
    <cacheField name="Happiness Score" numFmtId="0">
      <sharedItems containsString="0" containsBlank="1" containsNumber="1" minValue="6.53" maxValue="9.7799999999999994" count="47">
        <n v="6.56"/>
        <n v="7.97"/>
        <n v="8.27"/>
        <n v="7.83"/>
        <n v="6.93"/>
        <n v="7.42"/>
        <n v="8.26"/>
        <n v="6.89"/>
        <n v="6.53"/>
        <n v="6.59"/>
        <n v="7.62"/>
        <n v="6.57"/>
        <n v="7.2"/>
        <n v="8.33"/>
        <n v="7.82"/>
        <n v="8.82"/>
        <n v="8.68"/>
        <n v="7.12"/>
        <n v="7.45"/>
        <n v="8.42"/>
        <n v="7.16"/>
        <n v="9.06"/>
        <n v="8.5299999999999994"/>
        <n v="7.65"/>
        <n v="8.08"/>
        <n v="8.43"/>
        <n v="8.41"/>
        <n v="9.16"/>
        <n v="6.92"/>
        <n v="7.48"/>
        <n v="9.0399999999999991"/>
        <n v="6.67"/>
        <n v="7.98"/>
        <n v="6.69"/>
        <n v="6.88"/>
        <n v="9.27"/>
        <n v="7.93"/>
        <n v="8.9700000000000006"/>
        <n v="9.7799999999999994"/>
        <n v="8.48"/>
        <n v="7.26"/>
        <n v="8.24"/>
        <n v="7.91"/>
        <n v="7.46"/>
        <n v="9.6300000000000008"/>
        <n v="9.75"/>
        <m/>
      </sharedItems>
    </cacheField>
    <cacheField name="Air Quality Index" numFmtId="0">
      <sharedItems containsString="0" containsBlank="1" containsNumber="1" containsInteger="1" minValue="10" maxValue="70"/>
    </cacheField>
    <cacheField name="Green Area %" numFmtId="0">
      <sharedItems containsString="0" containsBlank="1" containsNumber="1" containsInteger="1" minValue="21" maxValue="60"/>
    </cacheField>
    <cacheField name="Education Index" numFmtId="0">
      <sharedItems containsString="0" containsBlank="1" containsNumber="1" minValue="7.05" maxValue="9.7899999999999991"/>
    </cacheField>
    <cacheField name="Digital Connectivity" numFmtId="0">
      <sharedItems containsString="0" containsBlank="1" containsNumber="1" minValue="7.02" maxValue="9.8800000000000008"/>
    </cacheField>
    <cacheField name="Avg Monthly Income ($)" numFmtId="0">
      <sharedItems containsString="0" containsBlank="1" containsNumber="1" containsInteger="1" minValue="1525" maxValue="5880" count="50">
        <n v="4317"/>
        <n v="3426"/>
        <n v="3073"/>
        <n v="2179"/>
        <n v="5788"/>
        <n v="5861"/>
        <n v="5739"/>
        <n v="3245"/>
        <n v="4366"/>
        <n v="3751"/>
        <n v="3772"/>
        <n v="3253"/>
        <n v="4808"/>
        <n v="2223"/>
        <n v="4372"/>
        <n v="3447"/>
        <n v="4089"/>
        <n v="1990"/>
        <n v="2949"/>
        <n v="3626"/>
        <n v="1525"/>
        <n v="5219"/>
        <n v="5608"/>
        <n v="3512"/>
        <n v="4691"/>
        <n v="2584"/>
        <n v="5646"/>
        <n v="4546"/>
        <n v="5491"/>
        <n v="4344"/>
        <n v="3286"/>
        <n v="2103"/>
        <n v="4583"/>
        <n v="1927"/>
        <n v="2932"/>
        <n v="5880"/>
        <n v="4368"/>
        <n v="3764"/>
        <n v="3086"/>
        <n v="2078"/>
        <n v="2414"/>
        <n v="4972"/>
        <n v="4580"/>
        <n v="2647"/>
        <n v="4624"/>
        <n v="4560"/>
        <n v="4324"/>
        <n v="2679"/>
        <n v="2828"/>
        <m/>
      </sharedItems>
    </cacheField>
    <cacheField name="Safety Score" numFmtId="0">
      <sharedItems containsString="0" containsBlank="1" containsNumber="1" minValue="6.03" maxValue="9.6999999999999993"/>
    </cacheField>
    <cacheField name="Overall Rating" numFmtId="0">
      <sharedItems containsString="0" containsBlank="1" containsNumber="1" minValue="5.96" maxValue="8.6999999999999993"/>
    </cacheField>
  </cacheFields>
  <extLst>
    <ext xmlns:x14="http://schemas.microsoft.com/office/spreadsheetml/2009/9/main" uri="{725AE2AE-9491-48be-B2B4-4EB974FC3084}">
      <x14:pivotCacheDefinition pivotCacheId="16154585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RAYANI" refreshedDate="45968.553778935187" createdVersion="8" refreshedVersion="8" minRefreshableVersion="3" recordCount="1" xr:uid="{D98E8810-BAD0-4AA6-A237-8B4E2D39911A}">
  <cacheSource type="worksheet">
    <worksheetSource ref="A1:A2" sheet="KPI"/>
  </cacheSource>
  <cacheFields count="1">
    <cacheField name="Avg Happiness Score" numFmtId="0">
      <sharedItems containsSemiMixedTypes="0" containsString="0" containsNumber="1" minValue="7.86" maxValue="7.8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x v="0"/>
    <n v="6.56"/>
    <n v="52"/>
    <n v="60"/>
    <n v="9.7899999999999991"/>
    <n v="8.2799999999999994"/>
    <n v="4317"/>
    <n v="8.6999999999999993"/>
    <n v="7.59"/>
  </r>
  <r>
    <x v="1"/>
    <x v="1"/>
    <x v="1"/>
    <n v="7.97"/>
    <n v="66"/>
    <n v="24"/>
    <n v="8.69"/>
    <n v="7.26"/>
    <n v="3426"/>
    <n v="9.65"/>
    <n v="7.54"/>
  </r>
  <r>
    <x v="2"/>
    <x v="2"/>
    <x v="2"/>
    <n v="8.27"/>
    <n v="38"/>
    <n v="26"/>
    <n v="7.4"/>
    <n v="7.8"/>
    <n v="3073"/>
    <n v="9.69"/>
    <n v="7.54"/>
  </r>
  <r>
    <x v="3"/>
    <x v="2"/>
    <x v="3"/>
    <n v="7.83"/>
    <n v="29"/>
    <n v="38"/>
    <n v="7.94"/>
    <n v="9.8800000000000008"/>
    <n v="2179"/>
    <n v="6.77"/>
    <n v="6.73"/>
  </r>
  <r>
    <x v="4"/>
    <x v="2"/>
    <x v="4"/>
    <n v="6.93"/>
    <n v="17"/>
    <n v="24"/>
    <n v="9.61"/>
    <n v="9.4499999999999993"/>
    <n v="5788"/>
    <n v="9.6999999999999993"/>
    <n v="8.6999999999999993"/>
  </r>
  <r>
    <x v="5"/>
    <x v="3"/>
    <x v="5"/>
    <n v="7.42"/>
    <n v="53"/>
    <n v="59"/>
    <n v="7.64"/>
    <n v="9.1300000000000008"/>
    <n v="5861"/>
    <n v="8.3000000000000007"/>
    <n v="7.84"/>
  </r>
  <r>
    <x v="6"/>
    <x v="4"/>
    <x v="6"/>
    <n v="8.26"/>
    <n v="23"/>
    <n v="41"/>
    <n v="7.91"/>
    <n v="9.85"/>
    <n v="5739"/>
    <n v="8.42"/>
    <n v="8.43"/>
  </r>
  <r>
    <x v="7"/>
    <x v="5"/>
    <x v="7"/>
    <n v="6.89"/>
    <n v="70"/>
    <n v="57"/>
    <n v="7.23"/>
    <n v="7.85"/>
    <n v="3245"/>
    <n v="8.56"/>
    <n v="6.61"/>
  </r>
  <r>
    <x v="8"/>
    <x v="5"/>
    <x v="8"/>
    <n v="6.53"/>
    <n v="12"/>
    <n v="30"/>
    <n v="8.19"/>
    <n v="9.83"/>
    <n v="4366"/>
    <n v="8.51"/>
    <n v="7.63"/>
  </r>
  <r>
    <x v="9"/>
    <x v="1"/>
    <x v="9"/>
    <n v="6.59"/>
    <n v="19"/>
    <n v="35"/>
    <n v="7.97"/>
    <n v="7.02"/>
    <n v="3751"/>
    <n v="7.14"/>
    <n v="7.06"/>
  </r>
  <r>
    <x v="10"/>
    <x v="6"/>
    <x v="10"/>
    <n v="7.62"/>
    <n v="70"/>
    <n v="25"/>
    <n v="8.14"/>
    <n v="8.3000000000000007"/>
    <n v="3772"/>
    <n v="9.52"/>
    <n v="7.38"/>
  </r>
  <r>
    <x v="11"/>
    <x v="7"/>
    <x v="11"/>
    <n v="6.57"/>
    <n v="27"/>
    <n v="52"/>
    <n v="9.17"/>
    <n v="8.61"/>
    <n v="3253"/>
    <n v="8.6300000000000008"/>
    <n v="7.35"/>
  </r>
  <r>
    <x v="12"/>
    <x v="3"/>
    <x v="12"/>
    <n v="7.2"/>
    <n v="28"/>
    <n v="41"/>
    <n v="9.74"/>
    <n v="7.53"/>
    <n v="4808"/>
    <n v="7.93"/>
    <n v="8.02"/>
  </r>
  <r>
    <x v="13"/>
    <x v="8"/>
    <x v="13"/>
    <n v="8.33"/>
    <n v="62"/>
    <n v="22"/>
    <n v="7.36"/>
    <n v="9.08"/>
    <n v="2223"/>
    <n v="8.44"/>
    <n v="6.78"/>
  </r>
  <r>
    <x v="14"/>
    <x v="4"/>
    <x v="14"/>
    <n v="7.82"/>
    <n v="41"/>
    <n v="47"/>
    <n v="7.18"/>
    <n v="7.35"/>
    <n v="4372"/>
    <n v="6.08"/>
    <n v="7.05"/>
  </r>
  <r>
    <x v="15"/>
    <x v="3"/>
    <x v="10"/>
    <n v="8.82"/>
    <n v="54"/>
    <n v="40"/>
    <n v="8.49"/>
    <n v="9.3000000000000007"/>
    <n v="3447"/>
    <n v="9.4499999999999993"/>
    <n v="7.84"/>
  </r>
  <r>
    <x v="16"/>
    <x v="0"/>
    <x v="15"/>
    <n v="8.68"/>
    <n v="43"/>
    <n v="54"/>
    <n v="8.98"/>
    <n v="9.02"/>
    <n v="4089"/>
    <n v="8.17"/>
    <n v="7.97"/>
  </r>
  <r>
    <x v="17"/>
    <x v="4"/>
    <x v="16"/>
    <n v="7.12"/>
    <n v="21"/>
    <n v="58"/>
    <n v="8.1300000000000008"/>
    <n v="8.76"/>
    <n v="1990"/>
    <n v="8.52"/>
    <n v="6.92"/>
  </r>
  <r>
    <x v="18"/>
    <x v="8"/>
    <x v="17"/>
    <n v="7.45"/>
    <n v="24"/>
    <n v="38"/>
    <n v="7.9"/>
    <n v="7.2"/>
    <n v="2949"/>
    <n v="8.07"/>
    <n v="7.17"/>
  </r>
  <r>
    <x v="19"/>
    <x v="4"/>
    <x v="18"/>
    <n v="8.42"/>
    <n v="37"/>
    <n v="43"/>
    <n v="8.17"/>
    <n v="7.72"/>
    <n v="3626"/>
    <n v="9.15"/>
    <n v="7.83"/>
  </r>
  <r>
    <x v="20"/>
    <x v="4"/>
    <x v="19"/>
    <n v="7.16"/>
    <n v="69"/>
    <n v="47"/>
    <n v="8.64"/>
    <n v="7.18"/>
    <n v="1525"/>
    <n v="6.35"/>
    <n v="5.96"/>
  </r>
  <r>
    <x v="21"/>
    <x v="9"/>
    <x v="20"/>
    <n v="9.06"/>
    <n v="24"/>
    <n v="43"/>
    <n v="8.17"/>
    <n v="7.29"/>
    <n v="5219"/>
    <n v="7.77"/>
    <n v="8.41"/>
  </r>
  <r>
    <x v="22"/>
    <x v="8"/>
    <x v="21"/>
    <n v="7.42"/>
    <n v="11"/>
    <n v="21"/>
    <n v="9.6999999999999993"/>
    <n v="9.83"/>
    <n v="5608"/>
    <n v="6.76"/>
    <n v="8.2799999999999994"/>
  </r>
  <r>
    <x v="23"/>
    <x v="8"/>
    <x v="22"/>
    <n v="8.5299999999999994"/>
    <n v="47"/>
    <n v="56"/>
    <n v="8.61"/>
    <n v="9.2899999999999991"/>
    <n v="3512"/>
    <n v="7.42"/>
    <n v="7.47"/>
  </r>
  <r>
    <x v="24"/>
    <x v="4"/>
    <x v="23"/>
    <n v="7.65"/>
    <n v="40"/>
    <n v="49"/>
    <n v="7.15"/>
    <n v="8.2100000000000009"/>
    <n v="4691"/>
    <n v="8.43"/>
    <n v="7.57"/>
  </r>
  <r>
    <x v="25"/>
    <x v="4"/>
    <x v="24"/>
    <n v="8.08"/>
    <n v="25"/>
    <n v="30"/>
    <n v="7.7"/>
    <n v="7.81"/>
    <n v="2584"/>
    <n v="6.03"/>
    <n v="6.78"/>
  </r>
  <r>
    <x v="26"/>
    <x v="8"/>
    <x v="25"/>
    <n v="8.43"/>
    <n v="39"/>
    <n v="48"/>
    <n v="7.16"/>
    <n v="7.44"/>
    <n v="5646"/>
    <n v="9.39"/>
    <n v="8.33"/>
  </r>
  <r>
    <x v="27"/>
    <x v="4"/>
    <x v="26"/>
    <n v="8.41"/>
    <n v="30"/>
    <n v="28"/>
    <n v="8.75"/>
    <n v="8.32"/>
    <n v="4546"/>
    <n v="8.7200000000000006"/>
    <n v="8.23"/>
  </r>
  <r>
    <x v="28"/>
    <x v="2"/>
    <x v="5"/>
    <n v="9.16"/>
    <n v="64"/>
    <n v="48"/>
    <n v="7.93"/>
    <n v="7.1"/>
    <n v="5491"/>
    <n v="7.94"/>
    <n v="8.11"/>
  </r>
  <r>
    <x v="29"/>
    <x v="4"/>
    <x v="27"/>
    <n v="6.92"/>
    <n v="52"/>
    <n v="44"/>
    <n v="7.05"/>
    <n v="8.5299999999999994"/>
    <n v="4344"/>
    <n v="6.43"/>
    <n v="6.7"/>
  </r>
  <r>
    <x v="30"/>
    <x v="7"/>
    <x v="28"/>
    <n v="7.48"/>
    <n v="29"/>
    <n v="27"/>
    <n v="7.62"/>
    <n v="7.66"/>
    <n v="3286"/>
    <n v="7.23"/>
    <n v="7.02"/>
  </r>
  <r>
    <x v="31"/>
    <x v="8"/>
    <x v="29"/>
    <n v="9.0399999999999991"/>
    <n v="33"/>
    <n v="30"/>
    <n v="9.24"/>
    <n v="7.63"/>
    <n v="2103"/>
    <n v="6.59"/>
    <n v="7.25"/>
  </r>
  <r>
    <x v="32"/>
    <x v="1"/>
    <x v="30"/>
    <n v="7.65"/>
    <n v="53"/>
    <n v="58"/>
    <n v="8.6199999999999992"/>
    <n v="7.18"/>
    <n v="4583"/>
    <n v="8.44"/>
    <n v="7.7"/>
  </r>
  <r>
    <x v="33"/>
    <x v="9"/>
    <x v="31"/>
    <n v="6.67"/>
    <n v="15"/>
    <n v="31"/>
    <n v="7.97"/>
    <n v="7.65"/>
    <n v="1927"/>
    <n v="8.18"/>
    <n v="6.72"/>
  </r>
  <r>
    <x v="34"/>
    <x v="7"/>
    <x v="32"/>
    <n v="7.98"/>
    <n v="61"/>
    <n v="41"/>
    <n v="8.8800000000000008"/>
    <n v="8.81"/>
    <n v="2932"/>
    <n v="9.14"/>
    <n v="7.37"/>
  </r>
  <r>
    <x v="35"/>
    <x v="7"/>
    <x v="33"/>
    <n v="6.69"/>
    <n v="63"/>
    <n v="38"/>
    <n v="9.67"/>
    <n v="9.7200000000000006"/>
    <n v="5880"/>
    <n v="6.86"/>
    <n v="7.64"/>
  </r>
  <r>
    <x v="36"/>
    <x v="0"/>
    <x v="34"/>
    <n v="6.88"/>
    <n v="69"/>
    <n v="27"/>
    <n v="8.89"/>
    <n v="8.4700000000000006"/>
    <n v="4368"/>
    <n v="8.93"/>
    <n v="7.39"/>
  </r>
  <r>
    <x v="37"/>
    <x v="0"/>
    <x v="34"/>
    <n v="9.27"/>
    <n v="42"/>
    <n v="30"/>
    <n v="7.96"/>
    <n v="8.1199999999999992"/>
    <n v="3764"/>
    <n v="8.9499999999999993"/>
    <n v="8"/>
  </r>
  <r>
    <x v="38"/>
    <x v="8"/>
    <x v="35"/>
    <n v="7.93"/>
    <n v="67"/>
    <n v="30"/>
    <n v="9.3699999999999992"/>
    <n v="8.26"/>
    <n v="3086"/>
    <n v="8.6199999999999992"/>
    <n v="7.34"/>
  </r>
  <r>
    <x v="39"/>
    <x v="5"/>
    <x v="32"/>
    <n v="8.9700000000000006"/>
    <n v="67"/>
    <n v="58"/>
    <n v="7.38"/>
    <n v="8.6199999999999992"/>
    <n v="2078"/>
    <n v="8.7799999999999994"/>
    <n v="6.95"/>
  </r>
  <r>
    <x v="40"/>
    <x v="8"/>
    <x v="36"/>
    <n v="9.7799999999999994"/>
    <n v="52"/>
    <n v="38"/>
    <n v="9.1300000000000008"/>
    <n v="7.52"/>
    <n v="2414"/>
    <n v="7.18"/>
    <n v="7.48"/>
  </r>
  <r>
    <x v="41"/>
    <x v="6"/>
    <x v="37"/>
    <n v="8.48"/>
    <n v="66"/>
    <n v="41"/>
    <n v="8.73"/>
    <n v="8.0299999999999994"/>
    <n v="4972"/>
    <n v="7.41"/>
    <n v="7.77"/>
  </r>
  <r>
    <x v="42"/>
    <x v="8"/>
    <x v="38"/>
    <n v="7.26"/>
    <n v="47"/>
    <n v="60"/>
    <n v="7.67"/>
    <n v="7.81"/>
    <n v="2949"/>
    <n v="6.82"/>
    <n v="6.59"/>
  </r>
  <r>
    <x v="43"/>
    <x v="7"/>
    <x v="39"/>
    <n v="8.24"/>
    <n v="10"/>
    <n v="28"/>
    <n v="7.23"/>
    <n v="7.48"/>
    <n v="4580"/>
    <n v="6.46"/>
    <n v="7.64"/>
  </r>
  <r>
    <x v="44"/>
    <x v="5"/>
    <x v="40"/>
    <n v="6.59"/>
    <n v="46"/>
    <n v="24"/>
    <n v="8.34"/>
    <n v="9.48"/>
    <n v="2647"/>
    <n v="7.74"/>
    <n v="6.62"/>
  </r>
  <r>
    <x v="45"/>
    <x v="8"/>
    <x v="9"/>
    <n v="7.91"/>
    <n v="21"/>
    <n v="35"/>
    <n v="9.08"/>
    <n v="8.9499999999999993"/>
    <n v="4624"/>
    <n v="9.69"/>
    <n v="8.4600000000000009"/>
  </r>
  <r>
    <x v="46"/>
    <x v="6"/>
    <x v="6"/>
    <n v="7.48"/>
    <n v="33"/>
    <n v="32"/>
    <n v="8.11"/>
    <n v="9.42"/>
    <n v="4560"/>
    <n v="7.5"/>
    <n v="7.56"/>
  </r>
  <r>
    <x v="47"/>
    <x v="1"/>
    <x v="0"/>
    <n v="7.46"/>
    <n v="45"/>
    <n v="29"/>
    <n v="7.88"/>
    <n v="7.89"/>
    <n v="4324"/>
    <n v="8.99"/>
    <n v="7.6"/>
  </r>
  <r>
    <x v="48"/>
    <x v="4"/>
    <x v="28"/>
    <n v="9.6300000000000008"/>
    <n v="20"/>
    <n v="24"/>
    <n v="7.96"/>
    <n v="7.97"/>
    <n v="2679"/>
    <n v="7.84"/>
    <n v="7.74"/>
  </r>
  <r>
    <x v="49"/>
    <x v="5"/>
    <x v="13"/>
    <n v="9.75"/>
    <n v="44"/>
    <n v="44"/>
    <n v="7.35"/>
    <n v="8.84"/>
    <n v="2828"/>
    <n v="6.82"/>
    <n v="7.26"/>
  </r>
  <r>
    <x v="50"/>
    <x v="10"/>
    <x v="41"/>
    <m/>
    <m/>
    <m/>
    <m/>
    <m/>
    <m/>
    <m/>
    <m/>
  </r>
  <r>
    <x v="50"/>
    <x v="10"/>
    <x v="41"/>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Auracity"/>
    <s v="Brazil"/>
    <n v="8.6999999999999993"/>
    <x v="0"/>
    <n v="52"/>
    <n v="60"/>
    <n v="9.7899999999999991"/>
    <n v="8.2799999999999994"/>
    <x v="0"/>
    <n v="8.6999999999999993"/>
    <n v="7.59"/>
  </r>
  <r>
    <s v="Solaria"/>
    <s v="Japan"/>
    <n v="4.0999999999999996"/>
    <x v="1"/>
    <n v="66"/>
    <n v="24"/>
    <n v="8.69"/>
    <n v="7.26"/>
    <x v="1"/>
    <n v="9.65"/>
    <n v="7.54"/>
  </r>
  <r>
    <s v="NeoGreen"/>
    <s v="Singapore"/>
    <n v="8.3000000000000007"/>
    <x v="2"/>
    <n v="38"/>
    <n v="26"/>
    <n v="7.4"/>
    <n v="7.8"/>
    <x v="2"/>
    <n v="9.69"/>
    <n v="7.54"/>
  </r>
  <r>
    <s v="Lumora"/>
    <s v="Singapore"/>
    <n v="14.7"/>
    <x v="3"/>
    <n v="29"/>
    <n v="38"/>
    <n v="7.94"/>
    <n v="9.8800000000000008"/>
    <x v="3"/>
    <n v="6.77"/>
    <n v="6.73"/>
  </r>
  <r>
    <s v="Novaterra"/>
    <s v="Singapore"/>
    <n v="5.9"/>
    <x v="4"/>
    <n v="17"/>
    <n v="24"/>
    <n v="9.61"/>
    <n v="9.4499999999999993"/>
    <x v="4"/>
    <n v="9.6999999999999993"/>
    <n v="8.6999999999999993"/>
  </r>
  <r>
    <s v="Skyhaven"/>
    <s v="Canada"/>
    <n v="11.9"/>
    <x v="5"/>
    <n v="53"/>
    <n v="59"/>
    <n v="7.64"/>
    <n v="9.1300000000000008"/>
    <x v="5"/>
    <n v="8.3000000000000007"/>
    <n v="7.84"/>
  </r>
  <r>
    <s v="Aquapolis"/>
    <s v="USA"/>
    <n v="6.1"/>
    <x v="6"/>
    <n v="23"/>
    <n v="41"/>
    <n v="7.91"/>
    <n v="9.85"/>
    <x v="6"/>
    <n v="8.42"/>
    <n v="8.43"/>
  </r>
  <r>
    <s v="Edenora"/>
    <s v="Germany"/>
    <n v="9"/>
    <x v="7"/>
    <n v="70"/>
    <n v="57"/>
    <n v="7.23"/>
    <n v="7.85"/>
    <x v="7"/>
    <n v="8.56"/>
    <n v="6.61"/>
  </r>
  <r>
    <s v="Metronis"/>
    <s v="Germany"/>
    <n v="9.3000000000000007"/>
    <x v="8"/>
    <n v="12"/>
    <n v="30"/>
    <n v="8.19"/>
    <n v="9.83"/>
    <x v="8"/>
    <n v="8.51"/>
    <n v="7.63"/>
  </r>
  <r>
    <s v="Celestia"/>
    <s v="Japan"/>
    <n v="9.9"/>
    <x v="9"/>
    <n v="19"/>
    <n v="35"/>
    <n v="7.97"/>
    <n v="7.02"/>
    <x v="9"/>
    <n v="7.14"/>
    <n v="7.06"/>
  </r>
  <r>
    <s v="Arcanova"/>
    <s v="UAE"/>
    <n v="5.0999999999999996"/>
    <x v="10"/>
    <n v="70"/>
    <n v="25"/>
    <n v="8.14"/>
    <n v="8.3000000000000007"/>
    <x v="10"/>
    <n v="9.52"/>
    <n v="7.38"/>
  </r>
  <r>
    <s v="Zenithia"/>
    <s v="Australia"/>
    <n v="12.5"/>
    <x v="11"/>
    <n v="27"/>
    <n v="52"/>
    <n v="9.17"/>
    <n v="8.61"/>
    <x v="11"/>
    <n v="8.6300000000000008"/>
    <n v="7.35"/>
  </r>
  <r>
    <s v="Ecolis"/>
    <s v="Canada"/>
    <n v="13.6"/>
    <x v="12"/>
    <n v="28"/>
    <n v="41"/>
    <n v="9.74"/>
    <n v="7.53"/>
    <x v="12"/>
    <n v="7.93"/>
    <n v="8.02"/>
  </r>
  <r>
    <s v="Innovara"/>
    <s v="France"/>
    <n v="11.1"/>
    <x v="13"/>
    <n v="62"/>
    <n v="22"/>
    <n v="7.36"/>
    <n v="9.08"/>
    <x v="13"/>
    <n v="8.44"/>
    <n v="6.78"/>
  </r>
  <r>
    <s v="Virelia"/>
    <s v="USA"/>
    <n v="11.5"/>
    <x v="14"/>
    <n v="41"/>
    <n v="47"/>
    <n v="7.18"/>
    <n v="7.35"/>
    <x v="14"/>
    <n v="6.08"/>
    <n v="7.05"/>
  </r>
  <r>
    <s v="Terranova"/>
    <s v="Canada"/>
    <n v="5.0999999999999996"/>
    <x v="15"/>
    <n v="54"/>
    <n v="40"/>
    <n v="8.49"/>
    <n v="9.3000000000000007"/>
    <x v="15"/>
    <n v="9.4499999999999993"/>
    <n v="7.84"/>
  </r>
  <r>
    <s v="Auralis"/>
    <s v="Brazil"/>
    <n v="7.1"/>
    <x v="16"/>
    <n v="43"/>
    <n v="54"/>
    <n v="8.98"/>
    <n v="9.02"/>
    <x v="16"/>
    <n v="8.17"/>
    <n v="7.97"/>
  </r>
  <r>
    <s v="Velonix"/>
    <s v="USA"/>
    <n v="3.3"/>
    <x v="17"/>
    <n v="21"/>
    <n v="58"/>
    <n v="8.1300000000000008"/>
    <n v="8.76"/>
    <x v="17"/>
    <n v="8.52"/>
    <n v="6.92"/>
  </r>
  <r>
    <s v="Florentis"/>
    <s v="France"/>
    <n v="7.7"/>
    <x v="18"/>
    <n v="24"/>
    <n v="38"/>
    <n v="7.9"/>
    <n v="7.2"/>
    <x v="18"/>
    <n v="8.07"/>
    <n v="7.17"/>
  </r>
  <r>
    <s v="Arcadia"/>
    <s v="USA"/>
    <n v="2.4"/>
    <x v="19"/>
    <n v="37"/>
    <n v="43"/>
    <n v="8.17"/>
    <n v="7.72"/>
    <x v="19"/>
    <n v="9.15"/>
    <n v="7.83"/>
  </r>
  <r>
    <s v="Zynthera"/>
    <s v="USA"/>
    <n v="14.1"/>
    <x v="20"/>
    <n v="69"/>
    <n v="47"/>
    <n v="8.64"/>
    <n v="7.18"/>
    <x v="20"/>
    <n v="6.35"/>
    <n v="5.96"/>
  </r>
  <r>
    <s v="Solaris Prime"/>
    <s v="India"/>
    <n v="5.2"/>
    <x v="21"/>
    <n v="24"/>
    <n v="43"/>
    <n v="8.17"/>
    <n v="7.29"/>
    <x v="21"/>
    <n v="7.77"/>
    <n v="8.41"/>
  </r>
  <r>
    <s v="Harmonia"/>
    <s v="France"/>
    <n v="14.2"/>
    <x v="5"/>
    <n v="11"/>
    <n v="21"/>
    <n v="9.6999999999999993"/>
    <n v="9.83"/>
    <x v="22"/>
    <n v="6.76"/>
    <n v="8.2799999999999994"/>
  </r>
  <r>
    <s v="Technora"/>
    <s v="France"/>
    <n v="10.3"/>
    <x v="22"/>
    <n v="47"/>
    <n v="56"/>
    <n v="8.61"/>
    <n v="9.2899999999999991"/>
    <x v="23"/>
    <n v="7.42"/>
    <n v="7.47"/>
  </r>
  <r>
    <s v="Greenora"/>
    <s v="USA"/>
    <n v="14.6"/>
    <x v="23"/>
    <n v="40"/>
    <n v="49"/>
    <n v="7.15"/>
    <n v="8.2100000000000009"/>
    <x v="24"/>
    <n v="8.43"/>
    <n v="7.57"/>
  </r>
  <r>
    <s v="Helion"/>
    <s v="USA"/>
    <n v="8.9"/>
    <x v="24"/>
    <n v="25"/>
    <n v="30"/>
    <n v="7.7"/>
    <n v="7.81"/>
    <x v="25"/>
    <n v="6.03"/>
    <n v="6.78"/>
  </r>
  <r>
    <s v="Utopis"/>
    <s v="France"/>
    <n v="12.6"/>
    <x v="25"/>
    <n v="39"/>
    <n v="48"/>
    <n v="7.16"/>
    <n v="7.44"/>
    <x v="26"/>
    <n v="9.39"/>
    <n v="8.33"/>
  </r>
  <r>
    <s v="Nexora"/>
    <s v="USA"/>
    <n v="10.5"/>
    <x v="26"/>
    <n v="30"/>
    <n v="28"/>
    <n v="8.75"/>
    <n v="8.32"/>
    <x v="27"/>
    <n v="8.7200000000000006"/>
    <n v="8.23"/>
  </r>
  <r>
    <s v="Radiantis"/>
    <s v="Singapore"/>
    <n v="11.9"/>
    <x v="27"/>
    <n v="64"/>
    <n v="48"/>
    <n v="7.93"/>
    <n v="7.1"/>
    <x v="28"/>
    <n v="7.94"/>
    <n v="8.11"/>
  </r>
  <r>
    <s v="Aquaterra"/>
    <s v="USA"/>
    <n v="13.1"/>
    <x v="28"/>
    <n v="52"/>
    <n v="44"/>
    <n v="7.05"/>
    <n v="8.5299999999999994"/>
    <x v="29"/>
    <n v="6.43"/>
    <n v="6.7"/>
  </r>
  <r>
    <s v="Clarion"/>
    <s v="Australia"/>
    <n v="12.3"/>
    <x v="29"/>
    <n v="29"/>
    <n v="27"/>
    <n v="7.62"/>
    <n v="7.66"/>
    <x v="30"/>
    <n v="7.23"/>
    <n v="7.02"/>
  </r>
  <r>
    <s v="Aetheris"/>
    <s v="France"/>
    <n v="14.9"/>
    <x v="30"/>
    <n v="33"/>
    <n v="30"/>
    <n v="9.24"/>
    <n v="7.63"/>
    <x v="31"/>
    <n v="6.59"/>
    <n v="7.25"/>
  </r>
  <r>
    <s v="Electra City"/>
    <s v="Japan"/>
    <n v="11.4"/>
    <x v="23"/>
    <n v="53"/>
    <n v="58"/>
    <n v="8.6199999999999992"/>
    <n v="7.18"/>
    <x v="32"/>
    <n v="8.44"/>
    <n v="7.7"/>
  </r>
  <r>
    <s v="Lumora Nova"/>
    <s v="India"/>
    <n v="3.2"/>
    <x v="31"/>
    <n v="15"/>
    <n v="31"/>
    <n v="7.97"/>
    <n v="7.65"/>
    <x v="33"/>
    <n v="8.18"/>
    <n v="6.72"/>
  </r>
  <r>
    <s v="Eden Prime"/>
    <s v="Australia"/>
    <n v="11.7"/>
    <x v="32"/>
    <n v="61"/>
    <n v="41"/>
    <n v="8.8800000000000008"/>
    <n v="8.81"/>
    <x v="34"/>
    <n v="9.14"/>
    <n v="7.37"/>
  </r>
  <r>
    <s v="Polaris"/>
    <s v="Australia"/>
    <n v="10.6"/>
    <x v="33"/>
    <n v="63"/>
    <n v="38"/>
    <n v="9.67"/>
    <n v="9.7200000000000006"/>
    <x v="35"/>
    <n v="6.86"/>
    <n v="7.64"/>
  </r>
  <r>
    <s v="Axionis"/>
    <s v="Brazil"/>
    <n v="8.4"/>
    <x v="34"/>
    <n v="69"/>
    <n v="27"/>
    <n v="8.89"/>
    <n v="8.4700000000000006"/>
    <x v="36"/>
    <n v="8.93"/>
    <n v="7.39"/>
  </r>
  <r>
    <s v="Glorion"/>
    <s v="Brazil"/>
    <n v="8.4"/>
    <x v="35"/>
    <n v="42"/>
    <n v="30"/>
    <n v="7.96"/>
    <n v="8.1199999999999992"/>
    <x v="37"/>
    <n v="8.9499999999999993"/>
    <n v="8"/>
  </r>
  <r>
    <s v="Neoville"/>
    <s v="France"/>
    <n v="14"/>
    <x v="36"/>
    <n v="67"/>
    <n v="30"/>
    <n v="9.3699999999999992"/>
    <n v="8.26"/>
    <x v="38"/>
    <n v="8.6199999999999992"/>
    <n v="7.34"/>
  </r>
  <r>
    <s v="Astra"/>
    <s v="Germany"/>
    <n v="11.7"/>
    <x v="37"/>
    <n v="67"/>
    <n v="58"/>
    <n v="7.38"/>
    <n v="8.6199999999999992"/>
    <x v="39"/>
    <n v="8.7799999999999994"/>
    <n v="6.95"/>
  </r>
  <r>
    <s v="Meridian"/>
    <s v="France"/>
    <n v="7"/>
    <x v="38"/>
    <n v="52"/>
    <n v="38"/>
    <n v="9.1300000000000008"/>
    <n v="7.52"/>
    <x v="40"/>
    <n v="7.18"/>
    <n v="7.48"/>
  </r>
  <r>
    <s v="Hyperion"/>
    <s v="UAE"/>
    <n v="4.7"/>
    <x v="39"/>
    <n v="66"/>
    <n v="41"/>
    <n v="8.73"/>
    <n v="8.0299999999999994"/>
    <x v="41"/>
    <n v="7.41"/>
    <n v="7.77"/>
  </r>
  <r>
    <s v="Vionara"/>
    <s v="France"/>
    <n v="13.4"/>
    <x v="40"/>
    <n v="47"/>
    <n v="60"/>
    <n v="7.67"/>
    <n v="7.81"/>
    <x v="18"/>
    <n v="6.82"/>
    <n v="6.59"/>
  </r>
  <r>
    <s v="Chronis"/>
    <s v="Australia"/>
    <n v="3.1"/>
    <x v="41"/>
    <n v="10"/>
    <n v="28"/>
    <n v="7.23"/>
    <n v="7.48"/>
    <x v="42"/>
    <n v="6.46"/>
    <n v="7.64"/>
  </r>
  <r>
    <s v="Futuria"/>
    <s v="Germany"/>
    <n v="11.8"/>
    <x v="9"/>
    <n v="46"/>
    <n v="24"/>
    <n v="8.34"/>
    <n v="9.48"/>
    <x v="43"/>
    <n v="7.74"/>
    <n v="6.62"/>
  </r>
  <r>
    <s v="Aerolis"/>
    <s v="France"/>
    <n v="9.9"/>
    <x v="42"/>
    <n v="21"/>
    <n v="35"/>
    <n v="9.08"/>
    <n v="8.9499999999999993"/>
    <x v="44"/>
    <n v="9.69"/>
    <n v="8.4600000000000009"/>
  </r>
  <r>
    <s v="Novion"/>
    <s v="UAE"/>
    <n v="6.1"/>
    <x v="29"/>
    <n v="33"/>
    <n v="32"/>
    <n v="8.11"/>
    <n v="9.42"/>
    <x v="45"/>
    <n v="7.5"/>
    <n v="7.56"/>
  </r>
  <r>
    <s v="Zenith Prime"/>
    <s v="Japan"/>
    <n v="8.6999999999999993"/>
    <x v="43"/>
    <n v="45"/>
    <n v="29"/>
    <n v="7.88"/>
    <n v="7.89"/>
    <x v="46"/>
    <n v="8.99"/>
    <n v="7.6"/>
  </r>
  <r>
    <s v="Alphara"/>
    <s v="USA"/>
    <n v="12.3"/>
    <x v="44"/>
    <n v="20"/>
    <n v="24"/>
    <n v="7.96"/>
    <n v="7.97"/>
    <x v="47"/>
    <n v="7.84"/>
    <n v="7.74"/>
  </r>
  <r>
    <s v="Skyline City"/>
    <s v="Germany"/>
    <n v="11.1"/>
    <x v="45"/>
    <n v="44"/>
    <n v="44"/>
    <n v="7.35"/>
    <n v="8.84"/>
    <x v="48"/>
    <n v="6.82"/>
    <n v="7.26"/>
  </r>
  <r>
    <m/>
    <m/>
    <m/>
    <x v="46"/>
    <m/>
    <m/>
    <m/>
    <m/>
    <x v="49"/>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7.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1479F1-1093-4CF4-BEAD-5E4C8160B12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8:I70" firstHeaderRow="0" firstDataRow="1" firstDataCol="1"/>
  <pivotFields count="11">
    <pivotField axis="axisRow" showAll="0">
      <items count="52">
        <item x="45"/>
        <item x="31"/>
        <item x="48"/>
        <item x="6"/>
        <item x="29"/>
        <item x="19"/>
        <item x="10"/>
        <item x="39"/>
        <item x="0"/>
        <item x="16"/>
        <item x="36"/>
        <item x="9"/>
        <item x="43"/>
        <item x="30"/>
        <item x="12"/>
        <item x="34"/>
        <item x="7"/>
        <item x="32"/>
        <item x="18"/>
        <item x="44"/>
        <item x="37"/>
        <item x="24"/>
        <item x="22"/>
        <item x="25"/>
        <item x="41"/>
        <item x="13"/>
        <item x="3"/>
        <item x="33"/>
        <item x="40"/>
        <item x="8"/>
        <item x="2"/>
        <item x="38"/>
        <item x="27"/>
        <item x="4"/>
        <item x="46"/>
        <item x="35"/>
        <item x="28"/>
        <item x="5"/>
        <item x="49"/>
        <item x="1"/>
        <item x="21"/>
        <item x="23"/>
        <item x="15"/>
        <item x="26"/>
        <item x="17"/>
        <item x="42"/>
        <item x="14"/>
        <item x="47"/>
        <item x="11"/>
        <item x="20"/>
        <item x="50"/>
        <item t="default"/>
      </items>
    </pivotField>
    <pivotField showAll="0">
      <items count="12">
        <item x="7"/>
        <item x="0"/>
        <item x="3"/>
        <item x="8"/>
        <item x="5"/>
        <item x="9"/>
        <item x="1"/>
        <item x="2"/>
        <item x="6"/>
        <item x="4"/>
        <item x="10"/>
        <item t="default"/>
      </items>
    </pivotField>
    <pivotField showAll="0">
      <items count="43">
        <item x="18"/>
        <item x="39"/>
        <item x="31"/>
        <item x="16"/>
        <item x="1"/>
        <item x="37"/>
        <item x="10"/>
        <item x="20"/>
        <item x="4"/>
        <item x="6"/>
        <item x="36"/>
        <item x="15"/>
        <item x="17"/>
        <item x="2"/>
        <item x="34"/>
        <item x="0"/>
        <item x="24"/>
        <item x="7"/>
        <item x="8"/>
        <item x="9"/>
        <item x="22"/>
        <item x="26"/>
        <item x="33"/>
        <item x="13"/>
        <item x="30"/>
        <item x="14"/>
        <item x="32"/>
        <item x="40"/>
        <item x="5"/>
        <item x="28"/>
        <item x="11"/>
        <item x="25"/>
        <item x="27"/>
        <item x="38"/>
        <item x="12"/>
        <item x="35"/>
        <item x="19"/>
        <item x="21"/>
        <item x="23"/>
        <item x="3"/>
        <item x="29"/>
        <item x="41"/>
        <item t="default"/>
      </items>
    </pivotField>
    <pivotField dataField="1" showAll="0"/>
    <pivotField dataField="1" showAll="0"/>
    <pivotField showAll="0"/>
    <pivotField dataField="1" showAll="0"/>
    <pivotField dataField="1" showAll="0"/>
    <pivotField showAll="0"/>
    <pivotField dataField="1"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5">
    <i>
      <x/>
    </i>
    <i i="1">
      <x v="1"/>
    </i>
    <i i="2">
      <x v="2"/>
    </i>
    <i i="3">
      <x v="3"/>
    </i>
    <i i="4">
      <x v="4"/>
    </i>
  </colItems>
  <dataFields count="5">
    <dataField name="Sum of Happiness Score" fld="3" baseField="0" baseItem="0"/>
    <dataField name="Sum of Education Index" fld="6" baseField="0" baseItem="0"/>
    <dataField name="Sum of Safety Score" fld="9" baseField="0" baseItem="0"/>
    <dataField name="Sum of Digital Connectivity" fld="7" baseField="0" baseItem="0"/>
    <dataField name="Sum of Air Quality Index" fld="4" baseField="0" baseItem="0"/>
  </dataFields>
  <chartFormats count="5">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2E63BE-46DF-46CB-98B2-C5E5E9D1DA8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F15" firstHeaderRow="0" firstDataRow="1" firstDataCol="1"/>
  <pivotFields count="11">
    <pivotField showAll="0"/>
    <pivotField axis="axisRow" showAll="0">
      <items count="12">
        <item x="7"/>
        <item x="0"/>
        <item x="3"/>
        <item x="8"/>
        <item x="5"/>
        <item x="9"/>
        <item x="1"/>
        <item x="2"/>
        <item x="6"/>
        <item x="4"/>
        <item x="10"/>
        <item t="default"/>
      </items>
    </pivotField>
    <pivotField showAll="0">
      <items count="43">
        <item x="18"/>
        <item x="39"/>
        <item x="31"/>
        <item x="16"/>
        <item x="1"/>
        <item x="37"/>
        <item x="10"/>
        <item x="20"/>
        <item x="4"/>
        <item x="6"/>
        <item x="36"/>
        <item x="15"/>
        <item x="17"/>
        <item x="2"/>
        <item x="34"/>
        <item x="0"/>
        <item x="24"/>
        <item x="7"/>
        <item x="8"/>
        <item x="9"/>
        <item x="22"/>
        <item x="26"/>
        <item x="33"/>
        <item x="13"/>
        <item x="30"/>
        <item x="14"/>
        <item x="32"/>
        <item x="40"/>
        <item x="5"/>
        <item x="28"/>
        <item x="11"/>
        <item x="25"/>
        <item x="27"/>
        <item x="38"/>
        <item x="12"/>
        <item x="35"/>
        <item x="19"/>
        <item x="21"/>
        <item x="23"/>
        <item x="3"/>
        <item x="29"/>
        <item x="41"/>
        <item t="default"/>
      </items>
    </pivotField>
    <pivotField dataField="1" showAll="0"/>
    <pivotField showAll="0"/>
    <pivotField showAll="0"/>
    <pivotField showAll="0"/>
    <pivotField showAll="0"/>
    <pivotField showAll="0"/>
    <pivotField dataField="1" showAll="0"/>
    <pivotField showAl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Average of Safety Score" fld="9" subtotal="average" baseField="1" baseItem="0"/>
    <dataField name="Average of Happiness Score" fld="3" subtotal="average" baseField="1"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836946-A791-40FB-A5A6-F186D921D7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5" firstHeaderRow="1" firstDataRow="1" firstDataCol="1"/>
  <pivotFields count="11">
    <pivotField axis="axisRow" showAll="0">
      <items count="52">
        <item x="45"/>
        <item x="31"/>
        <item x="48"/>
        <item x="6"/>
        <item x="29"/>
        <item x="19"/>
        <item x="10"/>
        <item x="39"/>
        <item x="0"/>
        <item x="16"/>
        <item x="36"/>
        <item x="9"/>
        <item x="43"/>
        <item x="30"/>
        <item x="12"/>
        <item x="34"/>
        <item x="7"/>
        <item x="32"/>
        <item x="18"/>
        <item x="44"/>
        <item x="37"/>
        <item x="24"/>
        <item x="22"/>
        <item x="25"/>
        <item x="41"/>
        <item x="13"/>
        <item x="3"/>
        <item x="33"/>
        <item x="40"/>
        <item x="8"/>
        <item x="2"/>
        <item x="38"/>
        <item x="27"/>
        <item x="4"/>
        <item x="46"/>
        <item x="35"/>
        <item x="28"/>
        <item x="5"/>
        <item x="49"/>
        <item x="1"/>
        <item x="21"/>
        <item x="23"/>
        <item x="15"/>
        <item x="26"/>
        <item x="17"/>
        <item x="42"/>
        <item x="14"/>
        <item x="47"/>
        <item x="11"/>
        <item x="20"/>
        <item x="50"/>
        <item t="default"/>
      </items>
    </pivotField>
    <pivotField showAll="0">
      <items count="12">
        <item x="7"/>
        <item x="0"/>
        <item x="3"/>
        <item x="8"/>
        <item x="5"/>
        <item x="9"/>
        <item x="1"/>
        <item x="2"/>
        <item x="6"/>
        <item x="4"/>
        <item x="10"/>
        <item t="default"/>
      </items>
    </pivotField>
    <pivotField showAll="0">
      <items count="43">
        <item x="18"/>
        <item x="39"/>
        <item x="31"/>
        <item x="16"/>
        <item x="1"/>
        <item x="37"/>
        <item x="10"/>
        <item x="20"/>
        <item x="4"/>
        <item x="6"/>
        <item x="36"/>
        <item x="15"/>
        <item x="17"/>
        <item x="2"/>
        <item x="34"/>
        <item x="0"/>
        <item x="24"/>
        <item x="7"/>
        <item x="8"/>
        <item x="9"/>
        <item x="22"/>
        <item x="26"/>
        <item x="33"/>
        <item x="13"/>
        <item x="30"/>
        <item x="14"/>
        <item x="32"/>
        <item x="40"/>
        <item x="5"/>
        <item x="28"/>
        <item x="11"/>
        <item x="25"/>
        <item x="27"/>
        <item x="38"/>
        <item x="12"/>
        <item x="35"/>
        <item x="19"/>
        <item x="21"/>
        <item x="23"/>
        <item x="3"/>
        <item x="29"/>
        <item x="41"/>
        <item t="default"/>
      </items>
    </pivotField>
    <pivotField dataField="1" showAll="0"/>
    <pivotField showAll="0"/>
    <pivotField showAll="0"/>
    <pivotField showAll="0"/>
    <pivotField showAll="0"/>
    <pivotField showAll="0"/>
    <pivotField showAll="0"/>
    <pivotField showAll="0"/>
  </pivotFields>
  <rowFields count="1">
    <field x="0"/>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Items count="1">
    <i/>
  </colItems>
  <dataFields count="1">
    <dataField name="Average of Happiness Score" fld="3" subtotal="average" baseField="0" baseItem="0"/>
  </dataField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3C08EF-14EF-45CB-81E5-E7C2D1D7842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M50" firstHeaderRow="1" firstDataRow="1" firstDataCol="1"/>
  <pivotFields count="11">
    <pivotField showAll="0"/>
    <pivotField showAll="0"/>
    <pivotField showAll="0"/>
    <pivotField axis="axisRow" showAll="0">
      <items count="48">
        <item x="8"/>
        <item x="0"/>
        <item x="11"/>
        <item x="9"/>
        <item x="31"/>
        <item x="33"/>
        <item x="34"/>
        <item x="7"/>
        <item x="28"/>
        <item x="4"/>
        <item x="17"/>
        <item x="20"/>
        <item x="12"/>
        <item x="40"/>
        <item x="5"/>
        <item x="18"/>
        <item x="43"/>
        <item x="29"/>
        <item x="10"/>
        <item x="23"/>
        <item x="14"/>
        <item x="3"/>
        <item x="42"/>
        <item x="36"/>
        <item x="1"/>
        <item x="32"/>
        <item x="24"/>
        <item x="41"/>
        <item x="6"/>
        <item x="2"/>
        <item x="13"/>
        <item x="26"/>
        <item x="19"/>
        <item x="25"/>
        <item x="39"/>
        <item x="22"/>
        <item x="16"/>
        <item x="15"/>
        <item x="37"/>
        <item x="30"/>
        <item x="21"/>
        <item x="27"/>
        <item x="35"/>
        <item x="44"/>
        <item x="45"/>
        <item x="38"/>
        <item x="46"/>
        <item t="default"/>
      </items>
    </pivotField>
    <pivotField showAll="0"/>
    <pivotField showAll="0"/>
    <pivotField showAll="0"/>
    <pivotField showAll="0"/>
    <pivotField dataField="1" showAll="0">
      <items count="51">
        <item x="20"/>
        <item x="33"/>
        <item x="17"/>
        <item x="39"/>
        <item x="31"/>
        <item x="3"/>
        <item x="13"/>
        <item x="40"/>
        <item x="25"/>
        <item x="43"/>
        <item x="47"/>
        <item x="48"/>
        <item x="34"/>
        <item x="18"/>
        <item x="2"/>
        <item x="38"/>
        <item x="7"/>
        <item x="11"/>
        <item x="30"/>
        <item x="1"/>
        <item x="15"/>
        <item x="23"/>
        <item x="19"/>
        <item x="9"/>
        <item x="37"/>
        <item x="10"/>
        <item x="16"/>
        <item x="0"/>
        <item x="46"/>
        <item x="29"/>
        <item x="8"/>
        <item x="36"/>
        <item x="14"/>
        <item x="27"/>
        <item x="45"/>
        <item x="42"/>
        <item x="32"/>
        <item x="44"/>
        <item x="24"/>
        <item x="12"/>
        <item x="41"/>
        <item x="21"/>
        <item x="28"/>
        <item x="22"/>
        <item x="26"/>
        <item x="6"/>
        <item x="4"/>
        <item x="5"/>
        <item x="35"/>
        <item x="49"/>
        <item t="default"/>
      </items>
    </pivotField>
    <pivotField showAll="0"/>
    <pivotField showAll="0"/>
  </pivotFields>
  <rowFields count="1">
    <field x="3"/>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Average of Avg Monthly Income ($)" fld="8" subtotal="average" baseField="3"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C31D66-4DFE-4F63-B469-C2041C36973D}"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8:H19" firstHeaderRow="1" firstDataRow="1" firstDataCol="0"/>
  <pivotFields count="1">
    <pivotField dataField="1" showAll="0"/>
  </pivotFields>
  <rowItems count="1">
    <i/>
  </rowItems>
  <colItems count="1">
    <i/>
  </colItems>
  <dataFields count="1">
    <dataField name="Sum of Avg Happiness Score" fld="0" baseField="0"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20578AB-15F8-4C04-B719-1E790D252DDB}" sourceName="Country">
  <pivotTables>
    <pivotTable tabId="2" name="PivotTable1"/>
    <pivotTable tabId="2" name="PivotTable4"/>
    <pivotTable tabId="2" name="PivotTable5"/>
  </pivotTables>
  <data>
    <tabular pivotCacheId="302242996">
      <items count="11">
        <i x="7" s="1"/>
        <i x="0" s="1"/>
        <i x="3" s="1"/>
        <i x="8" s="1"/>
        <i x="5" s="1"/>
        <i x="9" s="1"/>
        <i x="1" s="1"/>
        <i x="2" s="1"/>
        <i x="6" s="1"/>
        <i x="4" s="1"/>
        <i x="1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pulation__millions" xr10:uid="{EE631186-139D-4644-894E-63901EA11082}" sourceName="Population (millions)">
  <pivotTables>
    <pivotTable tabId="2" name="PivotTable1"/>
    <pivotTable tabId="2" name="PivotTable4"/>
    <pivotTable tabId="2" name="PivotTable5"/>
  </pivotTables>
  <data>
    <tabular pivotCacheId="302242996">
      <items count="42">
        <i x="18" s="1"/>
        <i x="39" s="1"/>
        <i x="31" s="1"/>
        <i x="16" s="1"/>
        <i x="1" s="1"/>
        <i x="37" s="1"/>
        <i x="10" s="1"/>
        <i x="20" s="1"/>
        <i x="4" s="1"/>
        <i x="6" s="1"/>
        <i x="36" s="1"/>
        <i x="15" s="1"/>
        <i x="17" s="1"/>
        <i x="2" s="1"/>
        <i x="34" s="1"/>
        <i x="0" s="1"/>
        <i x="24" s="1"/>
        <i x="7" s="1"/>
        <i x="8" s="1"/>
        <i x="9" s="1"/>
        <i x="22" s="1"/>
        <i x="26" s="1"/>
        <i x="33" s="1"/>
        <i x="13" s="1"/>
        <i x="30" s="1"/>
        <i x="14" s="1"/>
        <i x="32" s="1"/>
        <i x="40" s="1"/>
        <i x="5" s="1"/>
        <i x="28" s="1"/>
        <i x="11" s="1"/>
        <i x="25" s="1"/>
        <i x="27" s="1"/>
        <i x="38" s="1"/>
        <i x="12" s="1"/>
        <i x="35" s="1"/>
        <i x="19" s="1"/>
        <i x="21" s="1"/>
        <i x="23" s="1"/>
        <i x="3" s="1"/>
        <i x="29" s="1"/>
        <i x="4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g_Monthly_Income" xr10:uid="{1ACEFE56-C0E2-411C-AAFD-EBF8E6DB0BE7}" sourceName="Avg Monthly Income ($)">
  <pivotTables>
    <pivotTable tabId="2" name="PivotTable6"/>
  </pivotTables>
  <data>
    <tabular pivotCacheId="1615458518">
      <items count="50">
        <i x="20" s="1"/>
        <i x="33" s="1"/>
        <i x="17" s="1"/>
        <i x="39" s="1"/>
        <i x="31" s="1"/>
        <i x="3" s="1"/>
        <i x="13" s="1"/>
        <i x="40" s="1"/>
        <i x="25" s="1"/>
        <i x="43" s="1"/>
        <i x="47" s="1"/>
        <i x="48" s="1"/>
        <i x="34" s="1"/>
        <i x="18" s="1"/>
        <i x="2" s="1"/>
        <i x="38" s="1"/>
        <i x="7" s="1"/>
        <i x="11" s="1"/>
        <i x="30" s="1"/>
        <i x="1" s="1"/>
        <i x="15" s="1"/>
        <i x="23" s="1"/>
        <i x="19" s="1"/>
        <i x="9" s="1"/>
        <i x="37" s="1"/>
        <i x="10" s="1"/>
        <i x="16" s="1"/>
        <i x="0" s="1"/>
        <i x="46" s="1"/>
        <i x="29" s="1"/>
        <i x="8" s="1"/>
        <i x="36" s="1"/>
        <i x="14" s="1"/>
        <i x="27" s="1"/>
        <i x="45" s="1"/>
        <i x="42" s="1"/>
        <i x="32" s="1"/>
        <i x="44" s="1"/>
        <i x="24" s="1"/>
        <i x="12" s="1"/>
        <i x="41" s="1"/>
        <i x="21" s="1"/>
        <i x="28" s="1"/>
        <i x="22" s="1"/>
        <i x="26" s="1"/>
        <i x="6" s="1"/>
        <i x="4" s="1"/>
        <i x="5" s="1"/>
        <i x="35" s="1"/>
        <i x="4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88ADBC7-077A-4A72-BFAC-9DF2CE446AE2}" cache="Slicer_Country" caption="Country" rowHeight="234950"/>
  <slicer name="Population (millions)" xr10:uid="{D6EF6080-A170-47DA-A648-D262D53C7CD2}" cache="Slicer_Population__millions" caption="Population (millions)" rowHeight="234950"/>
  <slicer name="Avg Monthly Income ($)" xr10:uid="{28DD72D5-6CBC-4AC2-827D-80068DF626D3}" cache="Slicer_Avg_Monthly_Income" caption="Avg Monthly Incom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796F73-B6BD-47B6-859C-9E76863B901B}" name="Table2" displayName="Table2" ref="A1:K52" totalsRowShown="0" headerRowDxfId="17" dataDxfId="15" headerRowBorderDxfId="16" tableBorderDxfId="14">
  <autoFilter ref="A1:K52" xr:uid="{12796F73-B6BD-47B6-859C-9E76863B901B}"/>
  <tableColumns count="11">
    <tableColumn id="1" xr3:uid="{71E7F728-B5CA-4BA4-828D-E1AE470DF525}" name="City" dataDxfId="13"/>
    <tableColumn id="2" xr3:uid="{5C6A6716-82A3-43FC-B67E-E055D63696A9}" name="Country" dataDxfId="12"/>
    <tableColumn id="3" xr3:uid="{DA22A3FE-C801-4911-914C-334532CBDC99}" name="Population (millions)" dataDxfId="11"/>
    <tableColumn id="4" xr3:uid="{E6CD4C5D-C87A-4B90-AAC4-4D8A2854713E}" name="Happiness Score" dataDxfId="10"/>
    <tableColumn id="5" xr3:uid="{770A9305-0121-476E-9A29-1028FF78D041}" name="Air Quality Index" dataDxfId="9"/>
    <tableColumn id="6" xr3:uid="{DE52FE8D-76B1-4038-9F5B-0AAC21755C82}" name="Green Area %" dataDxfId="8"/>
    <tableColumn id="7" xr3:uid="{41493446-6BD9-4ACD-B885-91CE7B2E5321}" name="Education Index" dataDxfId="7"/>
    <tableColumn id="8" xr3:uid="{4D519C78-8307-4605-BC5D-97B70DC0A809}" name="Digital Connectivity" dataDxfId="6"/>
    <tableColumn id="9" xr3:uid="{1EC0E6F1-049B-43B0-8EA8-931CCF372527}" name="Avg Monthly Income ($)" dataDxfId="5"/>
    <tableColumn id="10" xr3:uid="{903C0D65-B63A-45E9-9E34-77FF990720F0}" name="Safety Score" dataDxfId="4"/>
    <tableColumn id="11" xr3:uid="{4CDAC9E5-29D9-4D03-BAA6-0EFA9EB6AAEC}" name="Overall Rating" dataDxfId="3"/>
  </tableColumns>
  <tableStyleInfo name="TableStyleMedium12" showFirstColumn="0" showLastColumn="0" showRowStripes="1" showColumnStripes="0"/>
</table>
</file>

<file path=xl/theme/theme1.xml><?xml version="1.0" encoding="utf-8"?>
<a:theme xmlns:a="http://schemas.openxmlformats.org/drawingml/2006/main" name="Office Theme 2007 - 2010">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workbookViewId="0">
      <selection activeCell="G18" sqref="G18"/>
    </sheetView>
  </sheetViews>
  <sheetFormatPr defaultRowHeight="14.4" x14ac:dyDescent="0.3"/>
  <cols>
    <col min="1" max="1" width="11" style="2" customWidth="1"/>
    <col min="2" max="2" width="12.44140625" style="2" customWidth="1"/>
    <col min="3" max="3" width="21.109375" style="1" customWidth="1"/>
    <col min="4" max="4" width="22.21875" style="2" customWidth="1"/>
    <col min="5" max="5" width="20.77734375" style="2" customWidth="1"/>
    <col min="6" max="6" width="17.109375" style="2" customWidth="1"/>
    <col min="7" max="7" width="16.77734375" style="2" customWidth="1"/>
    <col min="8" max="8" width="22.21875" style="2" customWidth="1"/>
    <col min="9" max="9" width="23.33203125" style="2" customWidth="1"/>
    <col min="10" max="10" width="15.33203125" style="2" customWidth="1"/>
    <col min="11" max="11" width="21.5546875" style="2" customWidth="1"/>
  </cols>
  <sheetData>
    <row r="1" spans="1:11" x14ac:dyDescent="0.3">
      <c r="A1" s="3" t="s">
        <v>0</v>
      </c>
      <c r="B1" s="3" t="s">
        <v>1</v>
      </c>
      <c r="C1" s="4" t="s">
        <v>2</v>
      </c>
      <c r="D1" s="3" t="s">
        <v>3</v>
      </c>
      <c r="E1" s="3" t="s">
        <v>4</v>
      </c>
      <c r="F1" s="3" t="s">
        <v>5</v>
      </c>
      <c r="G1" s="3" t="s">
        <v>6</v>
      </c>
      <c r="H1" s="3" t="s">
        <v>7</v>
      </c>
      <c r="I1" s="3" t="s">
        <v>8</v>
      </c>
      <c r="J1" s="3" t="s">
        <v>9</v>
      </c>
      <c r="K1" s="3" t="s">
        <v>10</v>
      </c>
    </row>
    <row r="2" spans="1:11" x14ac:dyDescent="0.3">
      <c r="A2" s="2" t="s">
        <v>11</v>
      </c>
      <c r="B2" s="2" t="s">
        <v>61</v>
      </c>
      <c r="C2" s="1">
        <v>8.6999999999999993</v>
      </c>
      <c r="D2" s="2">
        <v>6.56</v>
      </c>
      <c r="E2" s="2">
        <v>52</v>
      </c>
      <c r="F2" s="2">
        <v>60</v>
      </c>
      <c r="G2" s="2">
        <v>9.7899999999999991</v>
      </c>
      <c r="H2" s="2">
        <v>8.2799999999999994</v>
      </c>
      <c r="I2" s="2">
        <v>4317</v>
      </c>
      <c r="J2" s="2">
        <v>8.6999999999999993</v>
      </c>
      <c r="K2" s="2">
        <v>7.59</v>
      </c>
    </row>
    <row r="3" spans="1:11" x14ac:dyDescent="0.3">
      <c r="A3" s="2" t="s">
        <v>12</v>
      </c>
      <c r="B3" s="2" t="s">
        <v>62</v>
      </c>
      <c r="C3" s="1">
        <v>4.0999999999999996</v>
      </c>
      <c r="D3" s="2">
        <v>7.97</v>
      </c>
      <c r="E3" s="2">
        <v>66</v>
      </c>
      <c r="F3" s="2">
        <v>24</v>
      </c>
      <c r="G3" s="2">
        <v>8.69</v>
      </c>
      <c r="H3" s="2">
        <v>7.26</v>
      </c>
      <c r="I3" s="2">
        <v>3426</v>
      </c>
      <c r="J3" s="2">
        <v>9.65</v>
      </c>
      <c r="K3" s="2">
        <v>7.54</v>
      </c>
    </row>
    <row r="4" spans="1:11" x14ac:dyDescent="0.3">
      <c r="A4" s="2" t="s">
        <v>13</v>
      </c>
      <c r="B4" s="2" t="s">
        <v>63</v>
      </c>
      <c r="C4" s="1">
        <v>8.3000000000000007</v>
      </c>
      <c r="D4" s="2">
        <v>8.27</v>
      </c>
      <c r="E4" s="2">
        <v>38</v>
      </c>
      <c r="F4" s="2">
        <v>26</v>
      </c>
      <c r="G4" s="2">
        <v>7.4</v>
      </c>
      <c r="H4" s="2">
        <v>7.8</v>
      </c>
      <c r="I4" s="2">
        <v>3073</v>
      </c>
      <c r="J4" s="2">
        <v>9.69</v>
      </c>
      <c r="K4" s="2">
        <v>7.54</v>
      </c>
    </row>
    <row r="5" spans="1:11" x14ac:dyDescent="0.3">
      <c r="A5" s="2" t="s">
        <v>14</v>
      </c>
      <c r="B5" s="2" t="s">
        <v>63</v>
      </c>
      <c r="C5" s="1">
        <v>14.7</v>
      </c>
      <c r="D5" s="2">
        <v>7.83</v>
      </c>
      <c r="E5" s="2">
        <v>29</v>
      </c>
      <c r="F5" s="2">
        <v>38</v>
      </c>
      <c r="G5" s="2">
        <v>7.94</v>
      </c>
      <c r="H5" s="2">
        <v>9.8800000000000008</v>
      </c>
      <c r="I5" s="2">
        <v>2179</v>
      </c>
      <c r="J5" s="2">
        <v>6.77</v>
      </c>
      <c r="K5" s="2">
        <v>6.73</v>
      </c>
    </row>
    <row r="6" spans="1:11" x14ac:dyDescent="0.3">
      <c r="A6" s="2" t="s">
        <v>15</v>
      </c>
      <c r="B6" s="2" t="s">
        <v>63</v>
      </c>
      <c r="C6" s="1">
        <v>5.9</v>
      </c>
      <c r="D6" s="2">
        <v>6.93</v>
      </c>
      <c r="E6" s="2">
        <v>17</v>
      </c>
      <c r="F6" s="2">
        <v>24</v>
      </c>
      <c r="G6" s="2">
        <v>9.61</v>
      </c>
      <c r="H6" s="2">
        <v>9.4499999999999993</v>
      </c>
      <c r="I6" s="2">
        <v>5788</v>
      </c>
      <c r="J6" s="2">
        <v>9.6999999999999993</v>
      </c>
      <c r="K6" s="2">
        <v>8.6999999999999993</v>
      </c>
    </row>
    <row r="7" spans="1:11" x14ac:dyDescent="0.3">
      <c r="A7" s="2" t="s">
        <v>16</v>
      </c>
      <c r="B7" s="2" t="s">
        <v>64</v>
      </c>
      <c r="C7" s="1">
        <v>11.9</v>
      </c>
      <c r="D7" s="2">
        <v>7.42</v>
      </c>
      <c r="E7" s="2">
        <v>53</v>
      </c>
      <c r="F7" s="2">
        <v>59</v>
      </c>
      <c r="G7" s="2">
        <v>7.64</v>
      </c>
      <c r="H7" s="2">
        <v>9.1300000000000008</v>
      </c>
      <c r="I7" s="2">
        <v>5861</v>
      </c>
      <c r="J7" s="2">
        <v>8.3000000000000007</v>
      </c>
      <c r="K7" s="2">
        <v>7.84</v>
      </c>
    </row>
    <row r="8" spans="1:11" x14ac:dyDescent="0.3">
      <c r="A8" s="2" t="s">
        <v>17</v>
      </c>
      <c r="B8" s="2" t="s">
        <v>65</v>
      </c>
      <c r="C8" s="1">
        <v>6.1</v>
      </c>
      <c r="D8" s="2">
        <v>8.26</v>
      </c>
      <c r="E8" s="2">
        <v>23</v>
      </c>
      <c r="F8" s="2">
        <v>41</v>
      </c>
      <c r="G8" s="2">
        <v>7.91</v>
      </c>
      <c r="H8" s="2">
        <v>9.85</v>
      </c>
      <c r="I8" s="2">
        <v>5739</v>
      </c>
      <c r="J8" s="2">
        <v>8.42</v>
      </c>
      <c r="K8" s="2">
        <v>8.43</v>
      </c>
    </row>
    <row r="9" spans="1:11" x14ac:dyDescent="0.3">
      <c r="A9" s="2" t="s">
        <v>18</v>
      </c>
      <c r="B9" s="2" t="s">
        <v>66</v>
      </c>
      <c r="C9" s="1">
        <v>9</v>
      </c>
      <c r="D9" s="2">
        <v>6.89</v>
      </c>
      <c r="E9" s="2">
        <v>70</v>
      </c>
      <c r="F9" s="2">
        <v>57</v>
      </c>
      <c r="G9" s="2">
        <v>7.23</v>
      </c>
      <c r="H9" s="2">
        <v>7.85</v>
      </c>
      <c r="I9" s="2">
        <v>3245</v>
      </c>
      <c r="J9" s="2">
        <v>8.56</v>
      </c>
      <c r="K9" s="2">
        <v>6.61</v>
      </c>
    </row>
    <row r="10" spans="1:11" x14ac:dyDescent="0.3">
      <c r="A10" s="2" t="s">
        <v>19</v>
      </c>
      <c r="B10" s="2" t="s">
        <v>66</v>
      </c>
      <c r="C10" s="1">
        <v>9.3000000000000007</v>
      </c>
      <c r="D10" s="2">
        <v>6.53</v>
      </c>
      <c r="E10" s="2">
        <v>12</v>
      </c>
      <c r="F10" s="2">
        <v>30</v>
      </c>
      <c r="G10" s="2">
        <v>8.19</v>
      </c>
      <c r="H10" s="2">
        <v>9.83</v>
      </c>
      <c r="I10" s="2">
        <v>4366</v>
      </c>
      <c r="J10" s="2">
        <v>8.51</v>
      </c>
      <c r="K10" s="2">
        <v>7.63</v>
      </c>
    </row>
    <row r="11" spans="1:11" x14ac:dyDescent="0.3">
      <c r="A11" s="2" t="s">
        <v>20</v>
      </c>
      <c r="B11" s="2" t="s">
        <v>62</v>
      </c>
      <c r="C11" s="1">
        <v>9.9</v>
      </c>
      <c r="D11" s="2">
        <v>6.59</v>
      </c>
      <c r="E11" s="2">
        <v>19</v>
      </c>
      <c r="F11" s="2">
        <v>35</v>
      </c>
      <c r="G11" s="2">
        <v>7.97</v>
      </c>
      <c r="H11" s="2">
        <v>7.02</v>
      </c>
      <c r="I11" s="2">
        <v>3751</v>
      </c>
      <c r="J11" s="2">
        <v>7.14</v>
      </c>
      <c r="K11" s="2">
        <v>7.06</v>
      </c>
    </row>
    <row r="12" spans="1:11" x14ac:dyDescent="0.3">
      <c r="A12" s="2" t="s">
        <v>21</v>
      </c>
      <c r="B12" s="2" t="s">
        <v>67</v>
      </c>
      <c r="C12" s="1">
        <v>5.0999999999999996</v>
      </c>
      <c r="D12" s="2">
        <v>7.62</v>
      </c>
      <c r="E12" s="2">
        <v>70</v>
      </c>
      <c r="F12" s="2">
        <v>25</v>
      </c>
      <c r="G12" s="2">
        <v>8.14</v>
      </c>
      <c r="H12" s="2">
        <v>8.3000000000000007</v>
      </c>
      <c r="I12" s="2">
        <v>3772</v>
      </c>
      <c r="J12" s="2">
        <v>9.52</v>
      </c>
      <c r="K12" s="2">
        <v>7.38</v>
      </c>
    </row>
    <row r="13" spans="1:11" x14ac:dyDescent="0.3">
      <c r="A13" s="2" t="s">
        <v>22</v>
      </c>
      <c r="B13" s="2" t="s">
        <v>68</v>
      </c>
      <c r="C13" s="1">
        <v>12.5</v>
      </c>
      <c r="D13" s="2">
        <v>6.57</v>
      </c>
      <c r="E13" s="2">
        <v>27</v>
      </c>
      <c r="F13" s="2">
        <v>52</v>
      </c>
      <c r="G13" s="2">
        <v>9.17</v>
      </c>
      <c r="H13" s="2">
        <v>8.61</v>
      </c>
      <c r="I13" s="2">
        <v>3253</v>
      </c>
      <c r="J13" s="2">
        <v>8.6300000000000008</v>
      </c>
      <c r="K13" s="2">
        <v>7.35</v>
      </c>
    </row>
    <row r="14" spans="1:11" x14ac:dyDescent="0.3">
      <c r="A14" s="2" t="s">
        <v>23</v>
      </c>
      <c r="B14" s="2" t="s">
        <v>64</v>
      </c>
      <c r="C14" s="1">
        <v>13.6</v>
      </c>
      <c r="D14" s="2">
        <v>7.2</v>
      </c>
      <c r="E14" s="2">
        <v>28</v>
      </c>
      <c r="F14" s="2">
        <v>41</v>
      </c>
      <c r="G14" s="2">
        <v>9.74</v>
      </c>
      <c r="H14" s="2">
        <v>7.53</v>
      </c>
      <c r="I14" s="2">
        <v>4808</v>
      </c>
      <c r="J14" s="2">
        <v>7.93</v>
      </c>
      <c r="K14" s="2">
        <v>8.02</v>
      </c>
    </row>
    <row r="15" spans="1:11" x14ac:dyDescent="0.3">
      <c r="A15" s="2" t="s">
        <v>24</v>
      </c>
      <c r="B15" s="2" t="s">
        <v>69</v>
      </c>
      <c r="C15" s="1">
        <v>11.1</v>
      </c>
      <c r="D15" s="2">
        <v>8.33</v>
      </c>
      <c r="E15" s="2">
        <v>62</v>
      </c>
      <c r="F15" s="2">
        <v>22</v>
      </c>
      <c r="G15" s="2">
        <v>7.36</v>
      </c>
      <c r="H15" s="2">
        <v>9.08</v>
      </c>
      <c r="I15" s="2">
        <v>2223</v>
      </c>
      <c r="J15" s="2">
        <v>8.44</v>
      </c>
      <c r="K15" s="2">
        <v>6.78</v>
      </c>
    </row>
    <row r="16" spans="1:11" x14ac:dyDescent="0.3">
      <c r="A16" s="2" t="s">
        <v>25</v>
      </c>
      <c r="B16" s="2" t="s">
        <v>65</v>
      </c>
      <c r="C16" s="1">
        <v>11.5</v>
      </c>
      <c r="D16" s="2">
        <v>7.82</v>
      </c>
      <c r="E16" s="2">
        <v>41</v>
      </c>
      <c r="F16" s="2">
        <v>47</v>
      </c>
      <c r="G16" s="2">
        <v>7.18</v>
      </c>
      <c r="H16" s="2">
        <v>7.35</v>
      </c>
      <c r="I16" s="2">
        <v>4372</v>
      </c>
      <c r="J16" s="2">
        <v>6.08</v>
      </c>
      <c r="K16" s="2">
        <v>7.05</v>
      </c>
    </row>
    <row r="17" spans="1:11" x14ac:dyDescent="0.3">
      <c r="A17" s="2" t="s">
        <v>26</v>
      </c>
      <c r="B17" s="2" t="s">
        <v>64</v>
      </c>
      <c r="C17" s="1">
        <v>5.0999999999999996</v>
      </c>
      <c r="D17" s="2">
        <v>8.82</v>
      </c>
      <c r="E17" s="2">
        <v>54</v>
      </c>
      <c r="F17" s="2">
        <v>40</v>
      </c>
      <c r="G17" s="2">
        <v>8.49</v>
      </c>
      <c r="H17" s="2">
        <v>9.3000000000000007</v>
      </c>
      <c r="I17" s="2">
        <v>3447</v>
      </c>
      <c r="J17" s="2">
        <v>9.4499999999999993</v>
      </c>
      <c r="K17" s="2">
        <v>7.84</v>
      </c>
    </row>
    <row r="18" spans="1:11" x14ac:dyDescent="0.3">
      <c r="A18" s="2" t="s">
        <v>27</v>
      </c>
      <c r="B18" s="2" t="s">
        <v>61</v>
      </c>
      <c r="C18" s="1">
        <v>7.1</v>
      </c>
      <c r="D18" s="2">
        <v>8.68</v>
      </c>
      <c r="E18" s="2">
        <v>43</v>
      </c>
      <c r="F18" s="2">
        <v>54</v>
      </c>
      <c r="G18" s="2">
        <v>8.98</v>
      </c>
      <c r="H18" s="2">
        <v>9.02</v>
      </c>
      <c r="I18" s="2">
        <v>4089</v>
      </c>
      <c r="J18" s="2">
        <v>8.17</v>
      </c>
      <c r="K18" s="2">
        <v>7.97</v>
      </c>
    </row>
    <row r="19" spans="1:11" x14ac:dyDescent="0.3">
      <c r="A19" s="2" t="s">
        <v>28</v>
      </c>
      <c r="B19" s="2" t="s">
        <v>65</v>
      </c>
      <c r="C19" s="1">
        <v>3.3</v>
      </c>
      <c r="D19" s="2">
        <v>7.12</v>
      </c>
      <c r="E19" s="2">
        <v>21</v>
      </c>
      <c r="F19" s="2">
        <v>58</v>
      </c>
      <c r="G19" s="2">
        <v>8.1300000000000008</v>
      </c>
      <c r="H19" s="2">
        <v>8.76</v>
      </c>
      <c r="I19" s="2">
        <v>1990</v>
      </c>
      <c r="J19" s="2">
        <v>8.52</v>
      </c>
      <c r="K19" s="2">
        <v>6.92</v>
      </c>
    </row>
    <row r="20" spans="1:11" x14ac:dyDescent="0.3">
      <c r="A20" s="2" t="s">
        <v>29</v>
      </c>
      <c r="B20" s="2" t="s">
        <v>69</v>
      </c>
      <c r="C20" s="1">
        <v>7.7</v>
      </c>
      <c r="D20" s="2">
        <v>7.45</v>
      </c>
      <c r="E20" s="2">
        <v>24</v>
      </c>
      <c r="F20" s="2">
        <v>38</v>
      </c>
      <c r="G20" s="2">
        <v>7.9</v>
      </c>
      <c r="H20" s="2">
        <v>7.2</v>
      </c>
      <c r="I20" s="2">
        <v>2949</v>
      </c>
      <c r="J20" s="2">
        <v>8.07</v>
      </c>
      <c r="K20" s="2">
        <v>7.17</v>
      </c>
    </row>
    <row r="21" spans="1:11" x14ac:dyDescent="0.3">
      <c r="A21" s="2" t="s">
        <v>30</v>
      </c>
      <c r="B21" s="2" t="s">
        <v>65</v>
      </c>
      <c r="C21" s="1">
        <v>2.4</v>
      </c>
      <c r="D21" s="2">
        <v>8.42</v>
      </c>
      <c r="E21" s="2">
        <v>37</v>
      </c>
      <c r="F21" s="2">
        <v>43</v>
      </c>
      <c r="G21" s="2">
        <v>8.17</v>
      </c>
      <c r="H21" s="2">
        <v>7.72</v>
      </c>
      <c r="I21" s="2">
        <v>3626</v>
      </c>
      <c r="J21" s="2">
        <v>9.15</v>
      </c>
      <c r="K21" s="2">
        <v>7.83</v>
      </c>
    </row>
    <row r="22" spans="1:11" x14ac:dyDescent="0.3">
      <c r="A22" s="2" t="s">
        <v>31</v>
      </c>
      <c r="B22" s="2" t="s">
        <v>65</v>
      </c>
      <c r="C22" s="1">
        <v>14.1</v>
      </c>
      <c r="D22" s="2">
        <v>7.16</v>
      </c>
      <c r="E22" s="2">
        <v>69</v>
      </c>
      <c r="F22" s="2">
        <v>47</v>
      </c>
      <c r="G22" s="2">
        <v>8.64</v>
      </c>
      <c r="H22" s="2">
        <v>7.18</v>
      </c>
      <c r="I22" s="2">
        <v>1525</v>
      </c>
      <c r="J22" s="2">
        <v>6.35</v>
      </c>
      <c r="K22" s="2">
        <v>5.96</v>
      </c>
    </row>
    <row r="23" spans="1:11" x14ac:dyDescent="0.3">
      <c r="A23" s="2" t="s">
        <v>32</v>
      </c>
      <c r="B23" s="2" t="s">
        <v>70</v>
      </c>
      <c r="C23" s="1">
        <v>5.2</v>
      </c>
      <c r="D23" s="2">
        <v>9.06</v>
      </c>
      <c r="E23" s="2">
        <v>24</v>
      </c>
      <c r="F23" s="2">
        <v>43</v>
      </c>
      <c r="G23" s="2">
        <v>8.17</v>
      </c>
      <c r="H23" s="2">
        <v>7.29</v>
      </c>
      <c r="I23" s="2">
        <v>5219</v>
      </c>
      <c r="J23" s="2">
        <v>7.77</v>
      </c>
      <c r="K23" s="2">
        <v>8.41</v>
      </c>
    </row>
    <row r="24" spans="1:11" x14ac:dyDescent="0.3">
      <c r="A24" s="2" t="s">
        <v>33</v>
      </c>
      <c r="B24" s="2" t="s">
        <v>69</v>
      </c>
      <c r="C24" s="1">
        <v>14.2</v>
      </c>
      <c r="D24" s="2">
        <v>7.42</v>
      </c>
      <c r="E24" s="2">
        <v>11</v>
      </c>
      <c r="F24" s="2">
        <v>21</v>
      </c>
      <c r="G24" s="2">
        <v>9.6999999999999993</v>
      </c>
      <c r="H24" s="2">
        <v>9.83</v>
      </c>
      <c r="I24" s="2">
        <v>5608</v>
      </c>
      <c r="J24" s="2">
        <v>6.76</v>
      </c>
      <c r="K24" s="2">
        <v>8.2799999999999994</v>
      </c>
    </row>
    <row r="25" spans="1:11" x14ac:dyDescent="0.3">
      <c r="A25" s="2" t="s">
        <v>34</v>
      </c>
      <c r="B25" s="2" t="s">
        <v>69</v>
      </c>
      <c r="C25" s="1">
        <v>10.3</v>
      </c>
      <c r="D25" s="2">
        <v>8.5299999999999994</v>
      </c>
      <c r="E25" s="2">
        <v>47</v>
      </c>
      <c r="F25" s="2">
        <v>56</v>
      </c>
      <c r="G25" s="2">
        <v>8.61</v>
      </c>
      <c r="H25" s="2">
        <v>9.2899999999999991</v>
      </c>
      <c r="I25" s="2">
        <v>3512</v>
      </c>
      <c r="J25" s="2">
        <v>7.42</v>
      </c>
      <c r="K25" s="2">
        <v>7.47</v>
      </c>
    </row>
    <row r="26" spans="1:11" x14ac:dyDescent="0.3">
      <c r="A26" s="2" t="s">
        <v>35</v>
      </c>
      <c r="B26" s="2" t="s">
        <v>65</v>
      </c>
      <c r="C26" s="1">
        <v>14.6</v>
      </c>
      <c r="D26" s="2">
        <v>7.65</v>
      </c>
      <c r="E26" s="2">
        <v>40</v>
      </c>
      <c r="F26" s="2">
        <v>49</v>
      </c>
      <c r="G26" s="2">
        <v>7.15</v>
      </c>
      <c r="H26" s="2">
        <v>8.2100000000000009</v>
      </c>
      <c r="I26" s="2">
        <v>4691</v>
      </c>
      <c r="J26" s="2">
        <v>8.43</v>
      </c>
      <c r="K26" s="2">
        <v>7.57</v>
      </c>
    </row>
    <row r="27" spans="1:11" x14ac:dyDescent="0.3">
      <c r="A27" s="2" t="s">
        <v>36</v>
      </c>
      <c r="B27" s="2" t="s">
        <v>65</v>
      </c>
      <c r="C27" s="1">
        <v>8.9</v>
      </c>
      <c r="D27" s="2">
        <v>8.08</v>
      </c>
      <c r="E27" s="2">
        <v>25</v>
      </c>
      <c r="F27" s="2">
        <v>30</v>
      </c>
      <c r="G27" s="2">
        <v>7.7</v>
      </c>
      <c r="H27" s="2">
        <v>7.81</v>
      </c>
      <c r="I27" s="2">
        <v>2584</v>
      </c>
      <c r="J27" s="2">
        <v>6.03</v>
      </c>
      <c r="K27" s="2">
        <v>6.78</v>
      </c>
    </row>
    <row r="28" spans="1:11" x14ac:dyDescent="0.3">
      <c r="A28" s="2" t="s">
        <v>37</v>
      </c>
      <c r="B28" s="2" t="s">
        <v>69</v>
      </c>
      <c r="C28" s="1">
        <v>12.6</v>
      </c>
      <c r="D28" s="2">
        <v>8.43</v>
      </c>
      <c r="E28" s="2">
        <v>39</v>
      </c>
      <c r="F28" s="2">
        <v>48</v>
      </c>
      <c r="G28" s="2">
        <v>7.16</v>
      </c>
      <c r="H28" s="2">
        <v>7.44</v>
      </c>
      <c r="I28" s="2">
        <v>5646</v>
      </c>
      <c r="J28" s="2">
        <v>9.39</v>
      </c>
      <c r="K28" s="2">
        <v>8.33</v>
      </c>
    </row>
    <row r="29" spans="1:11" x14ac:dyDescent="0.3">
      <c r="A29" s="2" t="s">
        <v>38</v>
      </c>
      <c r="B29" s="2" t="s">
        <v>65</v>
      </c>
      <c r="C29" s="1">
        <v>10.5</v>
      </c>
      <c r="D29" s="2">
        <v>8.41</v>
      </c>
      <c r="E29" s="2">
        <v>30</v>
      </c>
      <c r="F29" s="2">
        <v>28</v>
      </c>
      <c r="G29" s="2">
        <v>8.75</v>
      </c>
      <c r="H29" s="2">
        <v>8.32</v>
      </c>
      <c r="I29" s="2">
        <v>4546</v>
      </c>
      <c r="J29" s="2">
        <v>8.7200000000000006</v>
      </c>
      <c r="K29" s="2">
        <v>8.23</v>
      </c>
    </row>
    <row r="30" spans="1:11" x14ac:dyDescent="0.3">
      <c r="A30" s="2" t="s">
        <v>39</v>
      </c>
      <c r="B30" s="2" t="s">
        <v>63</v>
      </c>
      <c r="C30" s="1">
        <v>11.9</v>
      </c>
      <c r="D30" s="2">
        <v>9.16</v>
      </c>
      <c r="E30" s="2">
        <v>64</v>
      </c>
      <c r="F30" s="2">
        <v>48</v>
      </c>
      <c r="G30" s="2">
        <v>7.93</v>
      </c>
      <c r="H30" s="2">
        <v>7.1</v>
      </c>
      <c r="I30" s="2">
        <v>5491</v>
      </c>
      <c r="J30" s="2">
        <v>7.94</v>
      </c>
      <c r="K30" s="2">
        <v>8.11</v>
      </c>
    </row>
    <row r="31" spans="1:11" x14ac:dyDescent="0.3">
      <c r="A31" s="2" t="s">
        <v>40</v>
      </c>
      <c r="B31" s="2" t="s">
        <v>65</v>
      </c>
      <c r="C31" s="1">
        <v>13.1</v>
      </c>
      <c r="D31" s="2">
        <v>6.92</v>
      </c>
      <c r="E31" s="2">
        <v>52</v>
      </c>
      <c r="F31" s="2">
        <v>44</v>
      </c>
      <c r="G31" s="2">
        <v>7.05</v>
      </c>
      <c r="H31" s="2">
        <v>8.5299999999999994</v>
      </c>
      <c r="I31" s="2">
        <v>4344</v>
      </c>
      <c r="J31" s="2">
        <v>6.43</v>
      </c>
      <c r="K31" s="2">
        <v>6.7</v>
      </c>
    </row>
    <row r="32" spans="1:11" x14ac:dyDescent="0.3">
      <c r="A32" s="2" t="s">
        <v>41</v>
      </c>
      <c r="B32" s="2" t="s">
        <v>68</v>
      </c>
      <c r="C32" s="1">
        <v>12.3</v>
      </c>
      <c r="D32" s="2">
        <v>7.48</v>
      </c>
      <c r="E32" s="2">
        <v>29</v>
      </c>
      <c r="F32" s="2">
        <v>27</v>
      </c>
      <c r="G32" s="2">
        <v>7.62</v>
      </c>
      <c r="H32" s="2">
        <v>7.66</v>
      </c>
      <c r="I32" s="2">
        <v>3286</v>
      </c>
      <c r="J32" s="2">
        <v>7.23</v>
      </c>
      <c r="K32" s="2">
        <v>7.02</v>
      </c>
    </row>
    <row r="33" spans="1:11" x14ac:dyDescent="0.3">
      <c r="A33" s="2" t="s">
        <v>42</v>
      </c>
      <c r="B33" s="2" t="s">
        <v>69</v>
      </c>
      <c r="C33" s="1">
        <v>14.9</v>
      </c>
      <c r="D33" s="2">
        <v>9.0399999999999991</v>
      </c>
      <c r="E33" s="2">
        <v>33</v>
      </c>
      <c r="F33" s="2">
        <v>30</v>
      </c>
      <c r="G33" s="2">
        <v>9.24</v>
      </c>
      <c r="H33" s="2">
        <v>7.63</v>
      </c>
      <c r="I33" s="2">
        <v>2103</v>
      </c>
      <c r="J33" s="2">
        <v>6.59</v>
      </c>
      <c r="K33" s="2">
        <v>7.25</v>
      </c>
    </row>
    <row r="34" spans="1:11" x14ac:dyDescent="0.3">
      <c r="A34" s="2" t="s">
        <v>43</v>
      </c>
      <c r="B34" s="2" t="s">
        <v>62</v>
      </c>
      <c r="C34" s="1">
        <v>11.4</v>
      </c>
      <c r="D34" s="2">
        <v>7.65</v>
      </c>
      <c r="E34" s="2">
        <v>53</v>
      </c>
      <c r="F34" s="2">
        <v>58</v>
      </c>
      <c r="G34" s="2">
        <v>8.6199999999999992</v>
      </c>
      <c r="H34" s="2">
        <v>7.18</v>
      </c>
      <c r="I34" s="2">
        <v>4583</v>
      </c>
      <c r="J34" s="2">
        <v>8.44</v>
      </c>
      <c r="K34" s="2">
        <v>7.7</v>
      </c>
    </row>
    <row r="35" spans="1:11" x14ac:dyDescent="0.3">
      <c r="A35" s="2" t="s">
        <v>44</v>
      </c>
      <c r="B35" s="2" t="s">
        <v>70</v>
      </c>
      <c r="C35" s="1">
        <v>3.2</v>
      </c>
      <c r="D35" s="2">
        <v>6.67</v>
      </c>
      <c r="E35" s="2">
        <v>15</v>
      </c>
      <c r="F35" s="2">
        <v>31</v>
      </c>
      <c r="G35" s="2">
        <v>7.97</v>
      </c>
      <c r="H35" s="2">
        <v>7.65</v>
      </c>
      <c r="I35" s="2">
        <v>1927</v>
      </c>
      <c r="J35" s="2">
        <v>8.18</v>
      </c>
      <c r="K35" s="2">
        <v>6.72</v>
      </c>
    </row>
    <row r="36" spans="1:11" x14ac:dyDescent="0.3">
      <c r="A36" s="2" t="s">
        <v>45</v>
      </c>
      <c r="B36" s="2" t="s">
        <v>68</v>
      </c>
      <c r="C36" s="1">
        <v>11.7</v>
      </c>
      <c r="D36" s="2">
        <v>7.98</v>
      </c>
      <c r="E36" s="2">
        <v>61</v>
      </c>
      <c r="F36" s="2">
        <v>41</v>
      </c>
      <c r="G36" s="2">
        <v>8.8800000000000008</v>
      </c>
      <c r="H36" s="2">
        <v>8.81</v>
      </c>
      <c r="I36" s="2">
        <v>2932</v>
      </c>
      <c r="J36" s="2">
        <v>9.14</v>
      </c>
      <c r="K36" s="2">
        <v>7.37</v>
      </c>
    </row>
    <row r="37" spans="1:11" x14ac:dyDescent="0.3">
      <c r="A37" s="2" t="s">
        <v>46</v>
      </c>
      <c r="B37" s="2" t="s">
        <v>68</v>
      </c>
      <c r="C37" s="1">
        <v>10.6</v>
      </c>
      <c r="D37" s="2">
        <v>6.69</v>
      </c>
      <c r="E37" s="2">
        <v>63</v>
      </c>
      <c r="F37" s="2">
        <v>38</v>
      </c>
      <c r="G37" s="2">
        <v>9.67</v>
      </c>
      <c r="H37" s="2">
        <v>9.7200000000000006</v>
      </c>
      <c r="I37" s="2">
        <v>5880</v>
      </c>
      <c r="J37" s="2">
        <v>6.86</v>
      </c>
      <c r="K37" s="2">
        <v>7.64</v>
      </c>
    </row>
    <row r="38" spans="1:11" x14ac:dyDescent="0.3">
      <c r="A38" s="2" t="s">
        <v>47</v>
      </c>
      <c r="B38" s="2" t="s">
        <v>61</v>
      </c>
      <c r="C38" s="1">
        <v>8.4</v>
      </c>
      <c r="D38" s="2">
        <v>6.88</v>
      </c>
      <c r="E38" s="2">
        <v>69</v>
      </c>
      <c r="F38" s="2">
        <v>27</v>
      </c>
      <c r="G38" s="2">
        <v>8.89</v>
      </c>
      <c r="H38" s="2">
        <v>8.4700000000000006</v>
      </c>
      <c r="I38" s="2">
        <v>4368</v>
      </c>
      <c r="J38" s="2">
        <v>8.93</v>
      </c>
      <c r="K38" s="2">
        <v>7.39</v>
      </c>
    </row>
    <row r="39" spans="1:11" x14ac:dyDescent="0.3">
      <c r="A39" s="2" t="s">
        <v>48</v>
      </c>
      <c r="B39" s="2" t="s">
        <v>61</v>
      </c>
      <c r="C39" s="1">
        <v>8.4</v>
      </c>
      <c r="D39" s="2">
        <v>9.27</v>
      </c>
      <c r="E39" s="2">
        <v>42</v>
      </c>
      <c r="F39" s="2">
        <v>30</v>
      </c>
      <c r="G39" s="2">
        <v>7.96</v>
      </c>
      <c r="H39" s="2">
        <v>8.1199999999999992</v>
      </c>
      <c r="I39" s="2">
        <v>3764</v>
      </c>
      <c r="J39" s="2">
        <v>8.9499999999999993</v>
      </c>
      <c r="K39" s="2">
        <v>8</v>
      </c>
    </row>
    <row r="40" spans="1:11" x14ac:dyDescent="0.3">
      <c r="A40" s="2" t="s">
        <v>49</v>
      </c>
      <c r="B40" s="2" t="s">
        <v>69</v>
      </c>
      <c r="C40" s="1">
        <v>14</v>
      </c>
      <c r="D40" s="2">
        <v>7.93</v>
      </c>
      <c r="E40" s="2">
        <v>67</v>
      </c>
      <c r="F40" s="2">
        <v>30</v>
      </c>
      <c r="G40" s="2">
        <v>9.3699999999999992</v>
      </c>
      <c r="H40" s="2">
        <v>8.26</v>
      </c>
      <c r="I40" s="2">
        <v>3086</v>
      </c>
      <c r="J40" s="2">
        <v>8.6199999999999992</v>
      </c>
      <c r="K40" s="2">
        <v>7.34</v>
      </c>
    </row>
    <row r="41" spans="1:11" x14ac:dyDescent="0.3">
      <c r="A41" s="2" t="s">
        <v>50</v>
      </c>
      <c r="B41" s="2" t="s">
        <v>66</v>
      </c>
      <c r="C41" s="1">
        <v>11.7</v>
      </c>
      <c r="D41" s="2">
        <v>8.9700000000000006</v>
      </c>
      <c r="E41" s="2">
        <v>67</v>
      </c>
      <c r="F41" s="2">
        <v>58</v>
      </c>
      <c r="G41" s="2">
        <v>7.38</v>
      </c>
      <c r="H41" s="2">
        <v>8.6199999999999992</v>
      </c>
      <c r="I41" s="2">
        <v>2078</v>
      </c>
      <c r="J41" s="2">
        <v>8.7799999999999994</v>
      </c>
      <c r="K41" s="2">
        <v>6.95</v>
      </c>
    </row>
    <row r="42" spans="1:11" x14ac:dyDescent="0.3">
      <c r="A42" s="2" t="s">
        <v>51</v>
      </c>
      <c r="B42" s="2" t="s">
        <v>69</v>
      </c>
      <c r="C42" s="1">
        <v>7</v>
      </c>
      <c r="D42" s="2">
        <v>9.7799999999999994</v>
      </c>
      <c r="E42" s="2">
        <v>52</v>
      </c>
      <c r="F42" s="2">
        <v>38</v>
      </c>
      <c r="G42" s="2">
        <v>9.1300000000000008</v>
      </c>
      <c r="H42" s="2">
        <v>7.52</v>
      </c>
      <c r="I42" s="2">
        <v>2414</v>
      </c>
      <c r="J42" s="2">
        <v>7.18</v>
      </c>
      <c r="K42" s="2">
        <v>7.48</v>
      </c>
    </row>
    <row r="43" spans="1:11" x14ac:dyDescent="0.3">
      <c r="A43" s="2" t="s">
        <v>52</v>
      </c>
      <c r="B43" s="2" t="s">
        <v>67</v>
      </c>
      <c r="C43" s="1">
        <v>4.7</v>
      </c>
      <c r="D43" s="2">
        <v>8.48</v>
      </c>
      <c r="E43" s="2">
        <v>66</v>
      </c>
      <c r="F43" s="2">
        <v>41</v>
      </c>
      <c r="G43" s="2">
        <v>8.73</v>
      </c>
      <c r="H43" s="2">
        <v>8.0299999999999994</v>
      </c>
      <c r="I43" s="2">
        <v>4972</v>
      </c>
      <c r="J43" s="2">
        <v>7.41</v>
      </c>
      <c r="K43" s="2">
        <v>7.77</v>
      </c>
    </row>
    <row r="44" spans="1:11" x14ac:dyDescent="0.3">
      <c r="A44" s="2" t="s">
        <v>53</v>
      </c>
      <c r="B44" s="2" t="s">
        <v>69</v>
      </c>
      <c r="C44" s="1">
        <v>13.4</v>
      </c>
      <c r="D44" s="2">
        <v>7.26</v>
      </c>
      <c r="E44" s="2">
        <v>47</v>
      </c>
      <c r="F44" s="2">
        <v>60</v>
      </c>
      <c r="G44" s="2">
        <v>7.67</v>
      </c>
      <c r="H44" s="2">
        <v>7.81</v>
      </c>
      <c r="I44" s="2">
        <v>2949</v>
      </c>
      <c r="J44" s="2">
        <v>6.82</v>
      </c>
      <c r="K44" s="2">
        <v>6.59</v>
      </c>
    </row>
    <row r="45" spans="1:11" x14ac:dyDescent="0.3">
      <c r="A45" s="2" t="s">
        <v>54</v>
      </c>
      <c r="B45" s="2" t="s">
        <v>68</v>
      </c>
      <c r="C45" s="1">
        <v>3.1</v>
      </c>
      <c r="D45" s="2">
        <v>8.24</v>
      </c>
      <c r="E45" s="2">
        <v>10</v>
      </c>
      <c r="F45" s="2">
        <v>28</v>
      </c>
      <c r="G45" s="2">
        <v>7.23</v>
      </c>
      <c r="H45" s="2">
        <v>7.48</v>
      </c>
      <c r="I45" s="2">
        <v>4580</v>
      </c>
      <c r="J45" s="2">
        <v>6.46</v>
      </c>
      <c r="K45" s="2">
        <v>7.64</v>
      </c>
    </row>
    <row r="46" spans="1:11" x14ac:dyDescent="0.3">
      <c r="A46" s="2" t="s">
        <v>55</v>
      </c>
      <c r="B46" s="2" t="s">
        <v>66</v>
      </c>
      <c r="C46" s="1">
        <v>11.8</v>
      </c>
      <c r="D46" s="2">
        <v>6.59</v>
      </c>
      <c r="E46" s="2">
        <v>46</v>
      </c>
      <c r="F46" s="2">
        <v>24</v>
      </c>
      <c r="G46" s="2">
        <v>8.34</v>
      </c>
      <c r="H46" s="2">
        <v>9.48</v>
      </c>
      <c r="I46" s="2">
        <v>2647</v>
      </c>
      <c r="J46" s="2">
        <v>7.74</v>
      </c>
      <c r="K46" s="2">
        <v>6.62</v>
      </c>
    </row>
    <row r="47" spans="1:11" x14ac:dyDescent="0.3">
      <c r="A47" s="2" t="s">
        <v>56</v>
      </c>
      <c r="B47" s="2" t="s">
        <v>69</v>
      </c>
      <c r="C47" s="1">
        <v>9.9</v>
      </c>
      <c r="D47" s="2">
        <v>7.91</v>
      </c>
      <c r="E47" s="2">
        <v>21</v>
      </c>
      <c r="F47" s="2">
        <v>35</v>
      </c>
      <c r="G47" s="2">
        <v>9.08</v>
      </c>
      <c r="H47" s="2">
        <v>8.9499999999999993</v>
      </c>
      <c r="I47" s="2">
        <v>4624</v>
      </c>
      <c r="J47" s="2">
        <v>9.69</v>
      </c>
      <c r="K47" s="2">
        <v>8.4600000000000009</v>
      </c>
    </row>
    <row r="48" spans="1:11" x14ac:dyDescent="0.3">
      <c r="A48" s="2" t="s">
        <v>57</v>
      </c>
      <c r="B48" s="2" t="s">
        <v>67</v>
      </c>
      <c r="C48" s="1">
        <v>6.1</v>
      </c>
      <c r="D48" s="2">
        <v>7.48</v>
      </c>
      <c r="E48" s="2">
        <v>33</v>
      </c>
      <c r="F48" s="2">
        <v>32</v>
      </c>
      <c r="G48" s="2">
        <v>8.11</v>
      </c>
      <c r="H48" s="2">
        <v>9.42</v>
      </c>
      <c r="I48" s="2">
        <v>4560</v>
      </c>
      <c r="J48" s="2">
        <v>7.5</v>
      </c>
      <c r="K48" s="2">
        <v>7.56</v>
      </c>
    </row>
    <row r="49" spans="1:11" x14ac:dyDescent="0.3">
      <c r="A49" s="2" t="s">
        <v>58</v>
      </c>
      <c r="B49" s="2" t="s">
        <v>62</v>
      </c>
      <c r="C49" s="1">
        <v>8.6999999999999993</v>
      </c>
      <c r="D49" s="2">
        <v>7.46</v>
      </c>
      <c r="E49" s="2">
        <v>45</v>
      </c>
      <c r="F49" s="2">
        <v>29</v>
      </c>
      <c r="G49" s="2">
        <v>7.88</v>
      </c>
      <c r="H49" s="2">
        <v>7.89</v>
      </c>
      <c r="I49" s="2">
        <v>4324</v>
      </c>
      <c r="J49" s="2">
        <v>8.99</v>
      </c>
      <c r="K49" s="2">
        <v>7.6</v>
      </c>
    </row>
    <row r="50" spans="1:11" x14ac:dyDescent="0.3">
      <c r="A50" s="2" t="s">
        <v>59</v>
      </c>
      <c r="B50" s="2" t="s">
        <v>65</v>
      </c>
      <c r="C50" s="1">
        <v>12.3</v>
      </c>
      <c r="D50" s="2">
        <v>9.6300000000000008</v>
      </c>
      <c r="E50" s="2">
        <v>20</v>
      </c>
      <c r="F50" s="2">
        <v>24</v>
      </c>
      <c r="G50" s="2">
        <v>7.96</v>
      </c>
      <c r="H50" s="2">
        <v>7.97</v>
      </c>
      <c r="I50" s="2">
        <v>2679</v>
      </c>
      <c r="J50" s="2">
        <v>7.84</v>
      </c>
      <c r="K50" s="2">
        <v>7.74</v>
      </c>
    </row>
    <row r="51" spans="1:11" x14ac:dyDescent="0.3">
      <c r="A51" s="2" t="s">
        <v>60</v>
      </c>
      <c r="B51" s="2" t="s">
        <v>66</v>
      </c>
      <c r="C51" s="1">
        <v>11.1</v>
      </c>
      <c r="D51" s="2">
        <v>9.75</v>
      </c>
      <c r="E51" s="2">
        <v>44</v>
      </c>
      <c r="F51" s="2">
        <v>44</v>
      </c>
      <c r="G51" s="2">
        <v>7.35</v>
      </c>
      <c r="H51" s="2">
        <v>8.84</v>
      </c>
      <c r="I51" s="2">
        <v>2828</v>
      </c>
      <c r="J51" s="2">
        <v>6.82</v>
      </c>
      <c r="K51" s="2">
        <v>7.26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4E81-8FE9-4098-A6ED-AAD14325EEC2}">
  <dimension ref="A1:M70"/>
  <sheetViews>
    <sheetView zoomScale="62" workbookViewId="0">
      <selection activeCell="AA19" sqref="AA19"/>
    </sheetView>
  </sheetViews>
  <sheetFormatPr defaultRowHeight="14.4" x14ac:dyDescent="0.3"/>
  <cols>
    <col min="1" max="1" width="17.6640625" bestFit="1" customWidth="1"/>
    <col min="2" max="2" width="33.6640625" bestFit="1" customWidth="1"/>
    <col min="4" max="4" width="17.6640625" bestFit="1" customWidth="1"/>
    <col min="5" max="5" width="29.5546875" bestFit="1" customWidth="1"/>
    <col min="6" max="6" width="28.77734375" bestFit="1" customWidth="1"/>
    <col min="7" max="7" width="24.6640625" bestFit="1" customWidth="1"/>
    <col min="8" max="8" width="32.5546875" bestFit="1" customWidth="1"/>
    <col min="9" max="9" width="29.5546875" bestFit="1" customWidth="1"/>
    <col min="12" max="12" width="17.6640625" bestFit="1" customWidth="1"/>
    <col min="13" max="13" width="41.5546875" bestFit="1" customWidth="1"/>
  </cols>
  <sheetData>
    <row r="1" spans="1:13" x14ac:dyDescent="0.3">
      <c r="L1" s="7" t="s">
        <v>90</v>
      </c>
    </row>
    <row r="2" spans="1:13" x14ac:dyDescent="0.3">
      <c r="A2" s="7" t="s">
        <v>76</v>
      </c>
      <c r="D2" s="7" t="s">
        <v>77</v>
      </c>
      <c r="L2" s="5" t="s">
        <v>71</v>
      </c>
      <c r="M2" t="s">
        <v>89</v>
      </c>
    </row>
    <row r="3" spans="1:13" x14ac:dyDescent="0.3">
      <c r="A3" s="5" t="s">
        <v>71</v>
      </c>
      <c r="B3" t="s">
        <v>75</v>
      </c>
      <c r="D3" s="5" t="s">
        <v>71</v>
      </c>
      <c r="E3" t="s">
        <v>79</v>
      </c>
      <c r="F3" t="s">
        <v>75</v>
      </c>
      <c r="L3" s="6">
        <v>6.53</v>
      </c>
      <c r="M3">
        <v>4366</v>
      </c>
    </row>
    <row r="4" spans="1:13" x14ac:dyDescent="0.3">
      <c r="A4" s="6" t="s">
        <v>56</v>
      </c>
      <c r="B4">
        <v>7.91</v>
      </c>
      <c r="D4" s="6" t="s">
        <v>68</v>
      </c>
      <c r="E4">
        <v>7.6639999999999997</v>
      </c>
      <c r="F4">
        <v>7.3920000000000003</v>
      </c>
      <c r="L4" s="6">
        <v>6.56</v>
      </c>
      <c r="M4">
        <v>4317</v>
      </c>
    </row>
    <row r="5" spans="1:13" x14ac:dyDescent="0.3">
      <c r="A5" s="6" t="s">
        <v>42</v>
      </c>
      <c r="B5">
        <v>9.0399999999999991</v>
      </c>
      <c r="D5" s="6" t="s">
        <v>61</v>
      </c>
      <c r="E5">
        <v>8.6875</v>
      </c>
      <c r="F5">
        <v>7.8474999999999993</v>
      </c>
      <c r="L5" s="6">
        <v>6.57</v>
      </c>
      <c r="M5">
        <v>3253</v>
      </c>
    </row>
    <row r="6" spans="1:13" x14ac:dyDescent="0.3">
      <c r="A6" s="6" t="s">
        <v>59</v>
      </c>
      <c r="B6">
        <v>9.6300000000000008</v>
      </c>
      <c r="D6" s="6" t="s">
        <v>64</v>
      </c>
      <c r="E6">
        <v>8.56</v>
      </c>
      <c r="F6">
        <v>7.8133333333333335</v>
      </c>
      <c r="L6" s="6">
        <v>6.59</v>
      </c>
      <c r="M6">
        <v>3199</v>
      </c>
    </row>
    <row r="7" spans="1:13" x14ac:dyDescent="0.3">
      <c r="A7" s="6" t="s">
        <v>17</v>
      </c>
      <c r="B7">
        <v>8.26</v>
      </c>
      <c r="D7" s="6" t="s">
        <v>69</v>
      </c>
      <c r="E7">
        <v>7.8979999999999988</v>
      </c>
      <c r="F7">
        <v>8.2080000000000002</v>
      </c>
      <c r="L7" s="6">
        <v>6.67</v>
      </c>
      <c r="M7">
        <v>1927</v>
      </c>
    </row>
    <row r="8" spans="1:13" x14ac:dyDescent="0.3">
      <c r="A8" s="6" t="s">
        <v>40</v>
      </c>
      <c r="B8">
        <v>6.92</v>
      </c>
      <c r="D8" s="6" t="s">
        <v>66</v>
      </c>
      <c r="E8">
        <v>8.0820000000000007</v>
      </c>
      <c r="F8">
        <v>7.7460000000000004</v>
      </c>
      <c r="L8" s="6">
        <v>6.69</v>
      </c>
      <c r="M8">
        <v>5880</v>
      </c>
    </row>
    <row r="9" spans="1:13" x14ac:dyDescent="0.3">
      <c r="A9" s="6" t="s">
        <v>30</v>
      </c>
      <c r="B9">
        <v>8.42</v>
      </c>
      <c r="D9" s="6" t="s">
        <v>70</v>
      </c>
      <c r="E9">
        <v>7.9749999999999996</v>
      </c>
      <c r="F9">
        <v>7.8650000000000002</v>
      </c>
      <c r="L9" s="6">
        <v>6.88</v>
      </c>
      <c r="M9">
        <v>4368</v>
      </c>
    </row>
    <row r="10" spans="1:13" x14ac:dyDescent="0.3">
      <c r="A10" s="6" t="s">
        <v>21</v>
      </c>
      <c r="B10">
        <v>7.62</v>
      </c>
      <c r="D10" s="6" t="s">
        <v>62</v>
      </c>
      <c r="E10">
        <v>8.5549999999999997</v>
      </c>
      <c r="F10">
        <v>7.4175000000000004</v>
      </c>
      <c r="L10" s="6">
        <v>6.89</v>
      </c>
      <c r="M10">
        <v>3245</v>
      </c>
    </row>
    <row r="11" spans="1:13" x14ac:dyDescent="0.3">
      <c r="A11" s="6" t="s">
        <v>50</v>
      </c>
      <c r="B11">
        <v>8.9700000000000006</v>
      </c>
      <c r="D11" s="6" t="s">
        <v>63</v>
      </c>
      <c r="E11">
        <v>8.5250000000000004</v>
      </c>
      <c r="F11">
        <v>8.0474999999999994</v>
      </c>
      <c r="L11" s="6">
        <v>6.92</v>
      </c>
      <c r="M11">
        <v>4344</v>
      </c>
    </row>
    <row r="12" spans="1:13" x14ac:dyDescent="0.3">
      <c r="A12" s="6" t="s">
        <v>11</v>
      </c>
      <c r="B12">
        <v>6.56</v>
      </c>
      <c r="D12" s="6" t="s">
        <v>67</v>
      </c>
      <c r="E12">
        <v>8.1433333333333326</v>
      </c>
      <c r="F12">
        <v>7.86</v>
      </c>
      <c r="L12" s="6">
        <v>6.93</v>
      </c>
      <c r="M12">
        <v>5788</v>
      </c>
    </row>
    <row r="13" spans="1:13" x14ac:dyDescent="0.3">
      <c r="A13" s="6" t="s">
        <v>27</v>
      </c>
      <c r="B13">
        <v>8.68</v>
      </c>
      <c r="D13" s="6" t="s">
        <v>65</v>
      </c>
      <c r="E13">
        <v>7.5969999999999995</v>
      </c>
      <c r="F13">
        <v>7.9470000000000001</v>
      </c>
      <c r="L13" s="6">
        <v>7.12</v>
      </c>
      <c r="M13">
        <v>1990</v>
      </c>
    </row>
    <row r="14" spans="1:13" x14ac:dyDescent="0.3">
      <c r="A14" s="6" t="s">
        <v>47</v>
      </c>
      <c r="B14">
        <v>6.88</v>
      </c>
      <c r="D14" s="6" t="s">
        <v>72</v>
      </c>
      <c r="L14" s="6">
        <v>7.16</v>
      </c>
      <c r="M14">
        <v>1525</v>
      </c>
    </row>
    <row r="15" spans="1:13" x14ac:dyDescent="0.3">
      <c r="A15" s="6" t="s">
        <v>20</v>
      </c>
      <c r="B15">
        <v>6.59</v>
      </c>
      <c r="D15" s="6" t="s">
        <v>73</v>
      </c>
      <c r="E15">
        <v>8.0562000000000005</v>
      </c>
      <c r="F15">
        <v>7.8648000000000016</v>
      </c>
      <c r="L15" s="6">
        <v>7.2</v>
      </c>
      <c r="M15">
        <v>4808</v>
      </c>
    </row>
    <row r="16" spans="1:13" x14ac:dyDescent="0.3">
      <c r="A16" s="6" t="s">
        <v>54</v>
      </c>
      <c r="B16">
        <v>8.24</v>
      </c>
      <c r="L16" s="6">
        <v>7.26</v>
      </c>
      <c r="M16">
        <v>2949</v>
      </c>
    </row>
    <row r="17" spans="1:13" x14ac:dyDescent="0.3">
      <c r="A17" s="6" t="s">
        <v>41</v>
      </c>
      <c r="B17">
        <v>7.48</v>
      </c>
      <c r="D17" s="7" t="s">
        <v>80</v>
      </c>
      <c r="L17" s="6">
        <v>7.42</v>
      </c>
      <c r="M17">
        <v>5734.5</v>
      </c>
    </row>
    <row r="18" spans="1:13" x14ac:dyDescent="0.3">
      <c r="A18" s="6" t="s">
        <v>23</v>
      </c>
      <c r="B18">
        <v>7.2</v>
      </c>
      <c r="D18" s="5" t="s">
        <v>71</v>
      </c>
      <c r="E18" t="s">
        <v>74</v>
      </c>
      <c r="F18" t="s">
        <v>81</v>
      </c>
      <c r="G18" t="s">
        <v>78</v>
      </c>
      <c r="H18" t="s">
        <v>82</v>
      </c>
      <c r="I18" t="s">
        <v>83</v>
      </c>
      <c r="L18" s="6">
        <v>7.45</v>
      </c>
      <c r="M18">
        <v>2949</v>
      </c>
    </row>
    <row r="19" spans="1:13" x14ac:dyDescent="0.3">
      <c r="A19" s="6" t="s">
        <v>45</v>
      </c>
      <c r="B19">
        <v>7.98</v>
      </c>
      <c r="D19" s="6" t="s">
        <v>56</v>
      </c>
      <c r="E19">
        <v>7.91</v>
      </c>
      <c r="F19">
        <v>9.08</v>
      </c>
      <c r="G19">
        <v>9.69</v>
      </c>
      <c r="H19">
        <v>8.9499999999999993</v>
      </c>
      <c r="I19">
        <v>21</v>
      </c>
      <c r="L19" s="6">
        <v>7.46</v>
      </c>
      <c r="M19">
        <v>4324</v>
      </c>
    </row>
    <row r="20" spans="1:13" x14ac:dyDescent="0.3">
      <c r="A20" s="6" t="s">
        <v>18</v>
      </c>
      <c r="B20">
        <v>6.89</v>
      </c>
      <c r="D20" s="6" t="s">
        <v>42</v>
      </c>
      <c r="E20">
        <v>9.0399999999999991</v>
      </c>
      <c r="F20">
        <v>9.24</v>
      </c>
      <c r="G20">
        <v>6.59</v>
      </c>
      <c r="H20">
        <v>7.63</v>
      </c>
      <c r="I20">
        <v>33</v>
      </c>
      <c r="L20" s="6">
        <v>7.48</v>
      </c>
      <c r="M20">
        <v>3923</v>
      </c>
    </row>
    <row r="21" spans="1:13" x14ac:dyDescent="0.3">
      <c r="A21" s="6" t="s">
        <v>43</v>
      </c>
      <c r="B21">
        <v>7.65</v>
      </c>
      <c r="D21" s="6" t="s">
        <v>59</v>
      </c>
      <c r="E21">
        <v>9.6300000000000008</v>
      </c>
      <c r="F21">
        <v>7.96</v>
      </c>
      <c r="G21">
        <v>7.84</v>
      </c>
      <c r="H21">
        <v>7.97</v>
      </c>
      <c r="I21">
        <v>20</v>
      </c>
      <c r="L21" s="6">
        <v>7.62</v>
      </c>
      <c r="M21">
        <v>3772</v>
      </c>
    </row>
    <row r="22" spans="1:13" x14ac:dyDescent="0.3">
      <c r="A22" s="6" t="s">
        <v>29</v>
      </c>
      <c r="B22">
        <v>7.45</v>
      </c>
      <c r="D22" s="6" t="s">
        <v>17</v>
      </c>
      <c r="E22">
        <v>8.26</v>
      </c>
      <c r="F22">
        <v>7.91</v>
      </c>
      <c r="G22">
        <v>8.42</v>
      </c>
      <c r="H22">
        <v>9.85</v>
      </c>
      <c r="I22">
        <v>23</v>
      </c>
      <c r="L22" s="6">
        <v>7.65</v>
      </c>
      <c r="M22">
        <v>4637</v>
      </c>
    </row>
    <row r="23" spans="1:13" x14ac:dyDescent="0.3">
      <c r="A23" s="6" t="s">
        <v>55</v>
      </c>
      <c r="B23">
        <v>6.59</v>
      </c>
      <c r="D23" s="6" t="s">
        <v>40</v>
      </c>
      <c r="E23">
        <v>6.92</v>
      </c>
      <c r="F23">
        <v>7.05</v>
      </c>
      <c r="G23">
        <v>6.43</v>
      </c>
      <c r="H23">
        <v>8.5299999999999994</v>
      </c>
      <c r="I23">
        <v>52</v>
      </c>
      <c r="L23" s="6">
        <v>7.82</v>
      </c>
      <c r="M23">
        <v>4372</v>
      </c>
    </row>
    <row r="24" spans="1:13" x14ac:dyDescent="0.3">
      <c r="A24" s="6" t="s">
        <v>48</v>
      </c>
      <c r="B24">
        <v>9.27</v>
      </c>
      <c r="D24" s="6" t="s">
        <v>30</v>
      </c>
      <c r="E24">
        <v>8.42</v>
      </c>
      <c r="F24">
        <v>8.17</v>
      </c>
      <c r="G24">
        <v>9.15</v>
      </c>
      <c r="H24">
        <v>7.72</v>
      </c>
      <c r="I24">
        <v>37</v>
      </c>
      <c r="L24" s="6">
        <v>7.83</v>
      </c>
      <c r="M24">
        <v>2179</v>
      </c>
    </row>
    <row r="25" spans="1:13" x14ac:dyDescent="0.3">
      <c r="A25" s="6" t="s">
        <v>35</v>
      </c>
      <c r="B25">
        <v>7.65</v>
      </c>
      <c r="D25" s="6" t="s">
        <v>21</v>
      </c>
      <c r="E25">
        <v>7.62</v>
      </c>
      <c r="F25">
        <v>8.14</v>
      </c>
      <c r="G25">
        <v>9.52</v>
      </c>
      <c r="H25">
        <v>8.3000000000000007</v>
      </c>
      <c r="I25">
        <v>70</v>
      </c>
      <c r="L25" s="6">
        <v>7.91</v>
      </c>
      <c r="M25">
        <v>4624</v>
      </c>
    </row>
    <row r="26" spans="1:13" x14ac:dyDescent="0.3">
      <c r="A26" s="6" t="s">
        <v>33</v>
      </c>
      <c r="B26">
        <v>7.42</v>
      </c>
      <c r="D26" s="6" t="s">
        <v>50</v>
      </c>
      <c r="E26">
        <v>8.9700000000000006</v>
      </c>
      <c r="F26">
        <v>7.38</v>
      </c>
      <c r="G26">
        <v>8.7799999999999994</v>
      </c>
      <c r="H26">
        <v>8.6199999999999992</v>
      </c>
      <c r="I26">
        <v>67</v>
      </c>
      <c r="L26" s="6">
        <v>7.93</v>
      </c>
      <c r="M26">
        <v>3086</v>
      </c>
    </row>
    <row r="27" spans="1:13" x14ac:dyDescent="0.3">
      <c r="A27" s="6" t="s">
        <v>36</v>
      </c>
      <c r="B27">
        <v>8.08</v>
      </c>
      <c r="D27" s="6" t="s">
        <v>11</v>
      </c>
      <c r="E27">
        <v>6.56</v>
      </c>
      <c r="F27">
        <v>9.7899999999999991</v>
      </c>
      <c r="G27">
        <v>8.6999999999999993</v>
      </c>
      <c r="H27">
        <v>8.2799999999999994</v>
      </c>
      <c r="I27">
        <v>52</v>
      </c>
      <c r="L27" s="6">
        <v>7.97</v>
      </c>
      <c r="M27">
        <v>3426</v>
      </c>
    </row>
    <row r="28" spans="1:13" x14ac:dyDescent="0.3">
      <c r="A28" s="6" t="s">
        <v>52</v>
      </c>
      <c r="B28">
        <v>8.48</v>
      </c>
      <c r="D28" s="6" t="s">
        <v>27</v>
      </c>
      <c r="E28">
        <v>8.68</v>
      </c>
      <c r="F28">
        <v>8.98</v>
      </c>
      <c r="G28">
        <v>8.17</v>
      </c>
      <c r="H28">
        <v>9.02</v>
      </c>
      <c r="I28">
        <v>43</v>
      </c>
      <c r="L28" s="6">
        <v>7.98</v>
      </c>
      <c r="M28">
        <v>2932</v>
      </c>
    </row>
    <row r="29" spans="1:13" x14ac:dyDescent="0.3">
      <c r="A29" s="6" t="s">
        <v>24</v>
      </c>
      <c r="B29">
        <v>8.33</v>
      </c>
      <c r="D29" s="6" t="s">
        <v>47</v>
      </c>
      <c r="E29">
        <v>6.88</v>
      </c>
      <c r="F29">
        <v>8.89</v>
      </c>
      <c r="G29">
        <v>8.93</v>
      </c>
      <c r="H29">
        <v>8.4700000000000006</v>
      </c>
      <c r="I29">
        <v>69</v>
      </c>
      <c r="L29" s="6">
        <v>8.08</v>
      </c>
      <c r="M29">
        <v>2584</v>
      </c>
    </row>
    <row r="30" spans="1:13" x14ac:dyDescent="0.3">
      <c r="A30" s="6" t="s">
        <v>14</v>
      </c>
      <c r="B30">
        <v>7.83</v>
      </c>
      <c r="D30" s="6" t="s">
        <v>20</v>
      </c>
      <c r="E30">
        <v>6.59</v>
      </c>
      <c r="F30">
        <v>7.97</v>
      </c>
      <c r="G30">
        <v>7.14</v>
      </c>
      <c r="H30">
        <v>7.02</v>
      </c>
      <c r="I30">
        <v>19</v>
      </c>
      <c r="L30" s="6">
        <v>8.24</v>
      </c>
      <c r="M30">
        <v>4580</v>
      </c>
    </row>
    <row r="31" spans="1:13" x14ac:dyDescent="0.3">
      <c r="A31" s="6" t="s">
        <v>44</v>
      </c>
      <c r="B31">
        <v>6.67</v>
      </c>
      <c r="D31" s="6" t="s">
        <v>54</v>
      </c>
      <c r="E31">
        <v>8.24</v>
      </c>
      <c r="F31">
        <v>7.23</v>
      </c>
      <c r="G31">
        <v>6.46</v>
      </c>
      <c r="H31">
        <v>7.48</v>
      </c>
      <c r="I31">
        <v>10</v>
      </c>
      <c r="L31" s="6">
        <v>8.26</v>
      </c>
      <c r="M31">
        <v>5739</v>
      </c>
    </row>
    <row r="32" spans="1:13" x14ac:dyDescent="0.3">
      <c r="A32" s="6" t="s">
        <v>51</v>
      </c>
      <c r="B32">
        <v>9.7799999999999994</v>
      </c>
      <c r="D32" s="6" t="s">
        <v>41</v>
      </c>
      <c r="E32">
        <v>7.48</v>
      </c>
      <c r="F32">
        <v>7.62</v>
      </c>
      <c r="G32">
        <v>7.23</v>
      </c>
      <c r="H32">
        <v>7.66</v>
      </c>
      <c r="I32">
        <v>29</v>
      </c>
      <c r="L32" s="6">
        <v>8.27</v>
      </c>
      <c r="M32">
        <v>3073</v>
      </c>
    </row>
    <row r="33" spans="1:13" x14ac:dyDescent="0.3">
      <c r="A33" s="6" t="s">
        <v>19</v>
      </c>
      <c r="B33">
        <v>6.53</v>
      </c>
      <c r="D33" s="6" t="s">
        <v>23</v>
      </c>
      <c r="E33">
        <v>7.2</v>
      </c>
      <c r="F33">
        <v>9.74</v>
      </c>
      <c r="G33">
        <v>7.93</v>
      </c>
      <c r="H33">
        <v>7.53</v>
      </c>
      <c r="I33">
        <v>28</v>
      </c>
      <c r="L33" s="6">
        <v>8.33</v>
      </c>
      <c r="M33">
        <v>2223</v>
      </c>
    </row>
    <row r="34" spans="1:13" x14ac:dyDescent="0.3">
      <c r="A34" s="6" t="s">
        <v>13</v>
      </c>
      <c r="B34">
        <v>8.27</v>
      </c>
      <c r="D34" s="6" t="s">
        <v>45</v>
      </c>
      <c r="E34">
        <v>7.98</v>
      </c>
      <c r="F34">
        <v>8.8800000000000008</v>
      </c>
      <c r="G34">
        <v>9.14</v>
      </c>
      <c r="H34">
        <v>8.81</v>
      </c>
      <c r="I34">
        <v>61</v>
      </c>
      <c r="L34" s="6">
        <v>8.41</v>
      </c>
      <c r="M34">
        <v>4546</v>
      </c>
    </row>
    <row r="35" spans="1:13" x14ac:dyDescent="0.3">
      <c r="A35" s="6" t="s">
        <v>49</v>
      </c>
      <c r="B35">
        <v>7.93</v>
      </c>
      <c r="D35" s="6" t="s">
        <v>18</v>
      </c>
      <c r="E35">
        <v>6.89</v>
      </c>
      <c r="F35">
        <v>7.23</v>
      </c>
      <c r="G35">
        <v>8.56</v>
      </c>
      <c r="H35">
        <v>7.85</v>
      </c>
      <c r="I35">
        <v>70</v>
      </c>
      <c r="L35" s="6">
        <v>8.42</v>
      </c>
      <c r="M35">
        <v>3626</v>
      </c>
    </row>
    <row r="36" spans="1:13" x14ac:dyDescent="0.3">
      <c r="A36" s="6" t="s">
        <v>38</v>
      </c>
      <c r="B36">
        <v>8.41</v>
      </c>
      <c r="D36" s="6" t="s">
        <v>43</v>
      </c>
      <c r="E36">
        <v>7.65</v>
      </c>
      <c r="F36">
        <v>8.6199999999999992</v>
      </c>
      <c r="G36">
        <v>8.44</v>
      </c>
      <c r="H36">
        <v>7.18</v>
      </c>
      <c r="I36">
        <v>53</v>
      </c>
      <c r="L36" s="6">
        <v>8.43</v>
      </c>
      <c r="M36">
        <v>5646</v>
      </c>
    </row>
    <row r="37" spans="1:13" x14ac:dyDescent="0.3">
      <c r="A37" s="6" t="s">
        <v>15</v>
      </c>
      <c r="B37">
        <v>6.93</v>
      </c>
      <c r="D37" s="6" t="s">
        <v>29</v>
      </c>
      <c r="E37">
        <v>7.45</v>
      </c>
      <c r="F37">
        <v>7.9</v>
      </c>
      <c r="G37">
        <v>8.07</v>
      </c>
      <c r="H37">
        <v>7.2</v>
      </c>
      <c r="I37">
        <v>24</v>
      </c>
      <c r="L37" s="6">
        <v>8.48</v>
      </c>
      <c r="M37">
        <v>4972</v>
      </c>
    </row>
    <row r="38" spans="1:13" x14ac:dyDescent="0.3">
      <c r="A38" s="6" t="s">
        <v>57</v>
      </c>
      <c r="B38">
        <v>7.48</v>
      </c>
      <c r="D38" s="6" t="s">
        <v>55</v>
      </c>
      <c r="E38">
        <v>6.59</v>
      </c>
      <c r="F38">
        <v>8.34</v>
      </c>
      <c r="G38">
        <v>7.74</v>
      </c>
      <c r="H38">
        <v>9.48</v>
      </c>
      <c r="I38">
        <v>46</v>
      </c>
      <c r="L38" s="6">
        <v>8.5299999999999994</v>
      </c>
      <c r="M38">
        <v>3512</v>
      </c>
    </row>
    <row r="39" spans="1:13" x14ac:dyDescent="0.3">
      <c r="A39" s="6" t="s">
        <v>46</v>
      </c>
      <c r="B39">
        <v>6.69</v>
      </c>
      <c r="D39" s="6" t="s">
        <v>48</v>
      </c>
      <c r="E39">
        <v>9.27</v>
      </c>
      <c r="F39">
        <v>7.96</v>
      </c>
      <c r="G39">
        <v>8.9499999999999993</v>
      </c>
      <c r="H39">
        <v>8.1199999999999992</v>
      </c>
      <c r="I39">
        <v>42</v>
      </c>
      <c r="L39" s="6">
        <v>8.68</v>
      </c>
      <c r="M39">
        <v>4089</v>
      </c>
    </row>
    <row r="40" spans="1:13" x14ac:dyDescent="0.3">
      <c r="A40" s="6" t="s">
        <v>39</v>
      </c>
      <c r="B40">
        <v>9.16</v>
      </c>
      <c r="D40" s="6" t="s">
        <v>35</v>
      </c>
      <c r="E40">
        <v>7.65</v>
      </c>
      <c r="F40">
        <v>7.15</v>
      </c>
      <c r="G40">
        <v>8.43</v>
      </c>
      <c r="H40">
        <v>8.2100000000000009</v>
      </c>
      <c r="I40">
        <v>40</v>
      </c>
      <c r="L40" s="6">
        <v>8.82</v>
      </c>
      <c r="M40">
        <v>3447</v>
      </c>
    </row>
    <row r="41" spans="1:13" x14ac:dyDescent="0.3">
      <c r="A41" s="6" t="s">
        <v>16</v>
      </c>
      <c r="B41">
        <v>7.42</v>
      </c>
      <c r="D41" s="6" t="s">
        <v>33</v>
      </c>
      <c r="E41">
        <v>7.42</v>
      </c>
      <c r="F41">
        <v>9.6999999999999993</v>
      </c>
      <c r="G41">
        <v>6.76</v>
      </c>
      <c r="H41">
        <v>9.83</v>
      </c>
      <c r="I41">
        <v>11</v>
      </c>
      <c r="L41" s="6">
        <v>8.9700000000000006</v>
      </c>
      <c r="M41">
        <v>2078</v>
      </c>
    </row>
    <row r="42" spans="1:13" x14ac:dyDescent="0.3">
      <c r="A42" s="6" t="s">
        <v>60</v>
      </c>
      <c r="B42">
        <v>9.75</v>
      </c>
      <c r="D42" s="6" t="s">
        <v>36</v>
      </c>
      <c r="E42">
        <v>8.08</v>
      </c>
      <c r="F42">
        <v>7.7</v>
      </c>
      <c r="G42">
        <v>6.03</v>
      </c>
      <c r="H42">
        <v>7.81</v>
      </c>
      <c r="I42">
        <v>25</v>
      </c>
      <c r="L42" s="6">
        <v>9.0399999999999991</v>
      </c>
      <c r="M42">
        <v>2103</v>
      </c>
    </row>
    <row r="43" spans="1:13" x14ac:dyDescent="0.3">
      <c r="A43" s="6" t="s">
        <v>12</v>
      </c>
      <c r="B43">
        <v>7.97</v>
      </c>
      <c r="D43" s="6" t="s">
        <v>52</v>
      </c>
      <c r="E43">
        <v>8.48</v>
      </c>
      <c r="F43">
        <v>8.73</v>
      </c>
      <c r="G43">
        <v>7.41</v>
      </c>
      <c r="H43">
        <v>8.0299999999999994</v>
      </c>
      <c r="I43">
        <v>66</v>
      </c>
      <c r="L43" s="6">
        <v>9.06</v>
      </c>
      <c r="M43">
        <v>5219</v>
      </c>
    </row>
    <row r="44" spans="1:13" x14ac:dyDescent="0.3">
      <c r="A44" s="6" t="s">
        <v>32</v>
      </c>
      <c r="B44">
        <v>9.06</v>
      </c>
      <c r="D44" s="6" t="s">
        <v>24</v>
      </c>
      <c r="E44">
        <v>8.33</v>
      </c>
      <c r="F44">
        <v>7.36</v>
      </c>
      <c r="G44">
        <v>8.44</v>
      </c>
      <c r="H44">
        <v>9.08</v>
      </c>
      <c r="I44">
        <v>62</v>
      </c>
      <c r="L44" s="6">
        <v>9.16</v>
      </c>
      <c r="M44">
        <v>5491</v>
      </c>
    </row>
    <row r="45" spans="1:13" x14ac:dyDescent="0.3">
      <c r="A45" s="6" t="s">
        <v>34</v>
      </c>
      <c r="B45">
        <v>8.5299999999999994</v>
      </c>
      <c r="D45" s="6" t="s">
        <v>14</v>
      </c>
      <c r="E45">
        <v>7.83</v>
      </c>
      <c r="F45">
        <v>7.94</v>
      </c>
      <c r="G45">
        <v>6.77</v>
      </c>
      <c r="H45">
        <v>9.8800000000000008</v>
      </c>
      <c r="I45">
        <v>29</v>
      </c>
      <c r="L45" s="6">
        <v>9.27</v>
      </c>
      <c r="M45">
        <v>3764</v>
      </c>
    </row>
    <row r="46" spans="1:13" x14ac:dyDescent="0.3">
      <c r="A46" s="6" t="s">
        <v>26</v>
      </c>
      <c r="B46">
        <v>8.82</v>
      </c>
      <c r="D46" s="6" t="s">
        <v>44</v>
      </c>
      <c r="E46">
        <v>6.67</v>
      </c>
      <c r="F46">
        <v>7.97</v>
      </c>
      <c r="G46">
        <v>8.18</v>
      </c>
      <c r="H46">
        <v>7.65</v>
      </c>
      <c r="I46">
        <v>15</v>
      </c>
      <c r="L46" s="6">
        <v>9.6300000000000008</v>
      </c>
      <c r="M46">
        <v>2679</v>
      </c>
    </row>
    <row r="47" spans="1:13" x14ac:dyDescent="0.3">
      <c r="A47" s="6" t="s">
        <v>37</v>
      </c>
      <c r="B47">
        <v>8.43</v>
      </c>
      <c r="D47" s="6" t="s">
        <v>51</v>
      </c>
      <c r="E47">
        <v>9.7799999999999994</v>
      </c>
      <c r="F47">
        <v>9.1300000000000008</v>
      </c>
      <c r="G47">
        <v>7.18</v>
      </c>
      <c r="H47">
        <v>7.52</v>
      </c>
      <c r="I47">
        <v>52</v>
      </c>
      <c r="L47" s="6">
        <v>9.75</v>
      </c>
      <c r="M47">
        <v>2828</v>
      </c>
    </row>
    <row r="48" spans="1:13" x14ac:dyDescent="0.3">
      <c r="A48" s="6" t="s">
        <v>28</v>
      </c>
      <c r="B48">
        <v>7.12</v>
      </c>
      <c r="D48" s="6" t="s">
        <v>19</v>
      </c>
      <c r="E48">
        <v>6.53</v>
      </c>
      <c r="F48">
        <v>8.19</v>
      </c>
      <c r="G48">
        <v>8.51</v>
      </c>
      <c r="H48">
        <v>9.83</v>
      </c>
      <c r="I48">
        <v>12</v>
      </c>
      <c r="L48" s="6">
        <v>9.7799999999999994</v>
      </c>
      <c r="M48">
        <v>2414</v>
      </c>
    </row>
    <row r="49" spans="1:13" x14ac:dyDescent="0.3">
      <c r="A49" s="6" t="s">
        <v>53</v>
      </c>
      <c r="B49">
        <v>7.26</v>
      </c>
      <c r="D49" s="6" t="s">
        <v>13</v>
      </c>
      <c r="E49">
        <v>8.27</v>
      </c>
      <c r="F49">
        <v>7.4</v>
      </c>
      <c r="G49">
        <v>9.69</v>
      </c>
      <c r="H49">
        <v>7.8</v>
      </c>
      <c r="I49">
        <v>38</v>
      </c>
      <c r="L49" s="6" t="s">
        <v>72</v>
      </c>
    </row>
    <row r="50" spans="1:13" x14ac:dyDescent="0.3">
      <c r="A50" s="6" t="s">
        <v>25</v>
      </c>
      <c r="B50">
        <v>7.82</v>
      </c>
      <c r="D50" s="6" t="s">
        <v>49</v>
      </c>
      <c r="E50">
        <v>7.93</v>
      </c>
      <c r="F50">
        <v>9.3699999999999992</v>
      </c>
      <c r="G50">
        <v>8.6199999999999992</v>
      </c>
      <c r="H50">
        <v>8.26</v>
      </c>
      <c r="I50">
        <v>67</v>
      </c>
      <c r="L50" s="6" t="s">
        <v>73</v>
      </c>
      <c r="M50">
        <v>3800.48</v>
      </c>
    </row>
    <row r="51" spans="1:13" x14ac:dyDescent="0.3">
      <c r="A51" s="6" t="s">
        <v>58</v>
      </c>
      <c r="B51">
        <v>7.46</v>
      </c>
      <c r="D51" s="6" t="s">
        <v>38</v>
      </c>
      <c r="E51">
        <v>8.41</v>
      </c>
      <c r="F51">
        <v>8.75</v>
      </c>
      <c r="G51">
        <v>8.7200000000000006</v>
      </c>
      <c r="H51">
        <v>8.32</v>
      </c>
      <c r="I51">
        <v>30</v>
      </c>
    </row>
    <row r="52" spans="1:13" x14ac:dyDescent="0.3">
      <c r="A52" s="6" t="s">
        <v>22</v>
      </c>
      <c r="B52">
        <v>6.57</v>
      </c>
      <c r="D52" s="6" t="s">
        <v>15</v>
      </c>
      <c r="E52">
        <v>6.93</v>
      </c>
      <c r="F52">
        <v>9.61</v>
      </c>
      <c r="G52">
        <v>9.6999999999999993</v>
      </c>
      <c r="H52">
        <v>9.4499999999999993</v>
      </c>
      <c r="I52">
        <v>17</v>
      </c>
    </row>
    <row r="53" spans="1:13" x14ac:dyDescent="0.3">
      <c r="A53" s="6" t="s">
        <v>31</v>
      </c>
      <c r="B53">
        <v>7.16</v>
      </c>
      <c r="D53" s="6" t="s">
        <v>57</v>
      </c>
      <c r="E53">
        <v>7.48</v>
      </c>
      <c r="F53">
        <v>8.11</v>
      </c>
      <c r="G53">
        <v>7.5</v>
      </c>
      <c r="H53">
        <v>9.42</v>
      </c>
      <c r="I53">
        <v>33</v>
      </c>
    </row>
    <row r="54" spans="1:13" x14ac:dyDescent="0.3">
      <c r="A54" s="6" t="s">
        <v>72</v>
      </c>
      <c r="D54" s="6" t="s">
        <v>46</v>
      </c>
      <c r="E54">
        <v>6.69</v>
      </c>
      <c r="F54">
        <v>9.67</v>
      </c>
      <c r="G54">
        <v>6.86</v>
      </c>
      <c r="H54">
        <v>9.7200000000000006</v>
      </c>
      <c r="I54">
        <v>63</v>
      </c>
    </row>
    <row r="55" spans="1:13" x14ac:dyDescent="0.3">
      <c r="A55" s="6" t="s">
        <v>73</v>
      </c>
      <c r="B55">
        <v>7.8648000000000016</v>
      </c>
      <c r="D55" s="6" t="s">
        <v>39</v>
      </c>
      <c r="E55">
        <v>9.16</v>
      </c>
      <c r="F55">
        <v>7.93</v>
      </c>
      <c r="G55">
        <v>7.94</v>
      </c>
      <c r="H55">
        <v>7.1</v>
      </c>
      <c r="I55">
        <v>64</v>
      </c>
    </row>
    <row r="56" spans="1:13" x14ac:dyDescent="0.3">
      <c r="D56" s="6" t="s">
        <v>16</v>
      </c>
      <c r="E56">
        <v>7.42</v>
      </c>
      <c r="F56">
        <v>7.64</v>
      </c>
      <c r="G56">
        <v>8.3000000000000007</v>
      </c>
      <c r="H56">
        <v>9.1300000000000008</v>
      </c>
      <c r="I56">
        <v>53</v>
      </c>
    </row>
    <row r="57" spans="1:13" x14ac:dyDescent="0.3">
      <c r="D57" s="6" t="s">
        <v>60</v>
      </c>
      <c r="E57">
        <v>9.75</v>
      </c>
      <c r="F57">
        <v>7.35</v>
      </c>
      <c r="G57">
        <v>6.82</v>
      </c>
      <c r="H57">
        <v>8.84</v>
      </c>
      <c r="I57">
        <v>44</v>
      </c>
    </row>
    <row r="58" spans="1:13" x14ac:dyDescent="0.3">
      <c r="D58" s="6" t="s">
        <v>12</v>
      </c>
      <c r="E58">
        <v>7.97</v>
      </c>
      <c r="F58">
        <v>8.69</v>
      </c>
      <c r="G58">
        <v>9.65</v>
      </c>
      <c r="H58">
        <v>7.26</v>
      </c>
      <c r="I58">
        <v>66</v>
      </c>
    </row>
    <row r="59" spans="1:13" x14ac:dyDescent="0.3">
      <c r="D59" s="6" t="s">
        <v>32</v>
      </c>
      <c r="E59">
        <v>9.06</v>
      </c>
      <c r="F59">
        <v>8.17</v>
      </c>
      <c r="G59">
        <v>7.77</v>
      </c>
      <c r="H59">
        <v>7.29</v>
      </c>
      <c r="I59">
        <v>24</v>
      </c>
    </row>
    <row r="60" spans="1:13" x14ac:dyDescent="0.3">
      <c r="D60" s="6" t="s">
        <v>34</v>
      </c>
      <c r="E60">
        <v>8.5299999999999994</v>
      </c>
      <c r="F60">
        <v>8.61</v>
      </c>
      <c r="G60">
        <v>7.42</v>
      </c>
      <c r="H60">
        <v>9.2899999999999991</v>
      </c>
      <c r="I60">
        <v>47</v>
      </c>
    </row>
    <row r="61" spans="1:13" x14ac:dyDescent="0.3">
      <c r="D61" s="6" t="s">
        <v>26</v>
      </c>
      <c r="E61">
        <v>8.82</v>
      </c>
      <c r="F61">
        <v>8.49</v>
      </c>
      <c r="G61">
        <v>9.4499999999999993</v>
      </c>
      <c r="H61">
        <v>9.3000000000000007</v>
      </c>
      <c r="I61">
        <v>54</v>
      </c>
    </row>
    <row r="62" spans="1:13" x14ac:dyDescent="0.3">
      <c r="D62" s="6" t="s">
        <v>37</v>
      </c>
      <c r="E62">
        <v>8.43</v>
      </c>
      <c r="F62">
        <v>7.16</v>
      </c>
      <c r="G62">
        <v>9.39</v>
      </c>
      <c r="H62">
        <v>7.44</v>
      </c>
      <c r="I62">
        <v>39</v>
      </c>
    </row>
    <row r="63" spans="1:13" x14ac:dyDescent="0.3">
      <c r="D63" s="6" t="s">
        <v>28</v>
      </c>
      <c r="E63">
        <v>7.12</v>
      </c>
      <c r="F63">
        <v>8.1300000000000008</v>
      </c>
      <c r="G63">
        <v>8.52</v>
      </c>
      <c r="H63">
        <v>8.76</v>
      </c>
      <c r="I63">
        <v>21</v>
      </c>
    </row>
    <row r="64" spans="1:13" x14ac:dyDescent="0.3">
      <c r="D64" s="6" t="s">
        <v>53</v>
      </c>
      <c r="E64">
        <v>7.26</v>
      </c>
      <c r="F64">
        <v>7.67</v>
      </c>
      <c r="G64">
        <v>6.82</v>
      </c>
      <c r="H64">
        <v>7.81</v>
      </c>
      <c r="I64">
        <v>47</v>
      </c>
    </row>
    <row r="65" spans="4:9" x14ac:dyDescent="0.3">
      <c r="D65" s="6" t="s">
        <v>25</v>
      </c>
      <c r="E65">
        <v>7.82</v>
      </c>
      <c r="F65">
        <v>7.18</v>
      </c>
      <c r="G65">
        <v>6.08</v>
      </c>
      <c r="H65">
        <v>7.35</v>
      </c>
      <c r="I65">
        <v>41</v>
      </c>
    </row>
    <row r="66" spans="4:9" x14ac:dyDescent="0.3">
      <c r="D66" s="6" t="s">
        <v>58</v>
      </c>
      <c r="E66">
        <v>7.46</v>
      </c>
      <c r="F66">
        <v>7.88</v>
      </c>
      <c r="G66">
        <v>8.99</v>
      </c>
      <c r="H66">
        <v>7.89</v>
      </c>
      <c r="I66">
        <v>45</v>
      </c>
    </row>
    <row r="67" spans="4:9" x14ac:dyDescent="0.3">
      <c r="D67" s="6" t="s">
        <v>22</v>
      </c>
      <c r="E67">
        <v>6.57</v>
      </c>
      <c r="F67">
        <v>9.17</v>
      </c>
      <c r="G67">
        <v>8.6300000000000008</v>
      </c>
      <c r="H67">
        <v>8.61</v>
      </c>
      <c r="I67">
        <v>27</v>
      </c>
    </row>
    <row r="68" spans="4:9" x14ac:dyDescent="0.3">
      <c r="D68" s="6" t="s">
        <v>31</v>
      </c>
      <c r="E68">
        <v>7.16</v>
      </c>
      <c r="F68">
        <v>8.64</v>
      </c>
      <c r="G68">
        <v>6.35</v>
      </c>
      <c r="H68">
        <v>7.18</v>
      </c>
      <c r="I68">
        <v>69</v>
      </c>
    </row>
    <row r="69" spans="4:9" x14ac:dyDescent="0.3">
      <c r="D69" s="6" t="s">
        <v>72</v>
      </c>
    </row>
    <row r="70" spans="4:9" x14ac:dyDescent="0.3">
      <c r="D70" s="6" t="s">
        <v>73</v>
      </c>
      <c r="E70">
        <v>393.24000000000007</v>
      </c>
      <c r="F70">
        <v>413.57000000000011</v>
      </c>
      <c r="G70">
        <v>402.80999999999995</v>
      </c>
      <c r="H70">
        <v>415.73000000000013</v>
      </c>
      <c r="I70">
        <v>2070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661C3-E03E-425F-AB70-33FBF8A213EE}">
  <dimension ref="A1:M19"/>
  <sheetViews>
    <sheetView zoomScale="77" workbookViewId="0">
      <selection activeCell="H18" sqref="H18:H19"/>
    </sheetView>
  </sheetViews>
  <sheetFormatPr defaultRowHeight="14.4" x14ac:dyDescent="0.3"/>
  <cols>
    <col min="1" max="1" width="26.33203125" customWidth="1"/>
    <col min="8" max="8" width="25.5546875" bestFit="1" customWidth="1"/>
  </cols>
  <sheetData>
    <row r="1" spans="1:13" x14ac:dyDescent="0.3">
      <c r="A1" s="7" t="s">
        <v>84</v>
      </c>
    </row>
    <row r="2" spans="1:13" x14ac:dyDescent="0.3">
      <c r="A2">
        <f>ROUND(AVERAGE(Table1!D2:D51),2)</f>
        <v>7.86</v>
      </c>
    </row>
    <row r="4" spans="1:13" x14ac:dyDescent="0.3">
      <c r="A4" s="7" t="s">
        <v>85</v>
      </c>
    </row>
    <row r="5" spans="1:13" x14ac:dyDescent="0.3">
      <c r="A5">
        <f>ROUND(AVERAGE(Table1!J2:J51),2)</f>
        <v>8.06</v>
      </c>
    </row>
    <row r="6" spans="1:13" x14ac:dyDescent="0.3">
      <c r="H6" s="10"/>
    </row>
    <row r="7" spans="1:13" x14ac:dyDescent="0.3">
      <c r="A7" s="7" t="s">
        <v>86</v>
      </c>
      <c r="M7" s="2"/>
    </row>
    <row r="8" spans="1:13" x14ac:dyDescent="0.3">
      <c r="A8">
        <f>ROUND(AVERAGE(Table1!I2:I51),0)</f>
        <v>3800</v>
      </c>
    </row>
    <row r="10" spans="1:13" x14ac:dyDescent="0.3">
      <c r="A10" s="9" t="s">
        <v>87</v>
      </c>
    </row>
    <row r="11" spans="1:13" x14ac:dyDescent="0.3">
      <c r="A11" t="str">
        <f>INDEX(Table1!A2:A51, MATCH(MAX(Table1!K2:K51), Table1!K2:K51, 0))</f>
        <v>Novaterra</v>
      </c>
    </row>
    <row r="13" spans="1:13" x14ac:dyDescent="0.3">
      <c r="A13" s="7" t="s">
        <v>88</v>
      </c>
    </row>
    <row r="14" spans="1:13" x14ac:dyDescent="0.3">
      <c r="A14">
        <f>ROUND(AVERAGE(Table1!F2:F51),2)</f>
        <v>39.06</v>
      </c>
    </row>
    <row r="18" spans="8:8" x14ac:dyDescent="0.3">
      <c r="H18" t="s">
        <v>91</v>
      </c>
    </row>
    <row r="19" spans="8:8" x14ac:dyDescent="0.3">
      <c r="H19" s="12">
        <v>7.86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C804-5D56-4AA7-8D28-3154903A49D6}">
  <dimension ref="C3"/>
  <sheetViews>
    <sheetView tabSelected="1" zoomScale="95" zoomScaleNormal="95" workbookViewId="0">
      <selection activeCell="L2" sqref="L2"/>
    </sheetView>
  </sheetViews>
  <sheetFormatPr defaultRowHeight="14.4" x14ac:dyDescent="0.3"/>
  <cols>
    <col min="1" max="4" width="8.88671875" style="8"/>
    <col min="5" max="5" width="7.5546875" style="8" customWidth="1"/>
    <col min="6" max="16384" width="8.88671875" style="8"/>
  </cols>
  <sheetData>
    <row r="3" spans="3:3" x14ac:dyDescent="0.3">
      <c r="C3"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vt:lpstr>
      <vt:lpstr>Pivot</vt:lpstr>
      <vt:lpstr>KPI</vt:lpstr>
      <vt:lpstr>Dashboard for cities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INDRAYANI</dc:creator>
  <cp:lastModifiedBy>Indrrayani Bhagat</cp:lastModifiedBy>
  <dcterms:created xsi:type="dcterms:W3CDTF">2025-11-04T05:11:44Z</dcterms:created>
  <dcterms:modified xsi:type="dcterms:W3CDTF">2025-11-07T07:53:04Z</dcterms:modified>
</cp:coreProperties>
</file>